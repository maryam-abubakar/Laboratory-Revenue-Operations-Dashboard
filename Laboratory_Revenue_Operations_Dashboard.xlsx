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490" windowHeight="9420"/>
  </bookViews>
  <sheets>
    <sheet name="Laboratory_Revenue_Dashboard" sheetId="20" r:id="rId1"/>
    <sheet name="Total revenue generated" sheetId="5" state="hidden" r:id="rId2"/>
    <sheet name="Total test perfomed" sheetId="4" state="hidden" r:id="rId3"/>
    <sheet name="Revenue generated by branch" sheetId="7" state="hidden" r:id="rId4"/>
    <sheet name="Highest revenue generating test" sheetId="8" state="hidden" r:id="rId5"/>
    <sheet name="Patient distribution" sheetId="9" state="hidden" r:id="rId6"/>
    <sheet name="Revenue by timeline" sheetId="10" state="hidden" r:id="rId7"/>
    <sheet name="Revenue generated by department" sheetId="6" state="hidden" r:id="rId8"/>
    <sheet name="Slicers" sheetId="18" state="hidden" r:id="rId9"/>
    <sheet name="Laboratory Sales Data" sheetId="1" state="hidden" r:id="rId10"/>
  </sheets>
  <definedNames>
    <definedName name="Slicer_Test_Category">#N/A</definedName>
    <definedName name="Slicer_Branch">#N/A</definedName>
    <definedName name="Slicer_Patient_Type">#N/A</definedName>
    <definedName name="Slicer_Months__Date">#N/A</definedName>
    <definedName name="Slicer_Payment__Method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6"/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<sst xmlns="http://schemas.openxmlformats.org/spreadsheetml/2006/main" count="8088" uniqueCount="1064">
  <si>
    <t>Laboratory Revenue and Operations Dashboard</t>
  </si>
  <si>
    <t>Row Labels</t>
  </si>
  <si>
    <t>Sum of Revenue</t>
  </si>
  <si>
    <t>Column1</t>
  </si>
  <si>
    <t>Column2</t>
  </si>
  <si>
    <t>TX0001</t>
  </si>
  <si>
    <t>Total revenue</t>
  </si>
  <si>
    <t>TX0002</t>
  </si>
  <si>
    <t>Total tests performed</t>
  </si>
  <si>
    <t>TX0003</t>
  </si>
  <si>
    <t>Average revenue/test</t>
  </si>
  <si>
    <t>TX0004</t>
  </si>
  <si>
    <t>TX0005</t>
  </si>
  <si>
    <t>TX0006</t>
  </si>
  <si>
    <t>TX0007</t>
  </si>
  <si>
    <t>TX0008</t>
  </si>
  <si>
    <t>TX0009</t>
  </si>
  <si>
    <t>TX0010</t>
  </si>
  <si>
    <t>TX0011</t>
  </si>
  <si>
    <t>TX0012</t>
  </si>
  <si>
    <t>TX0013</t>
  </si>
  <si>
    <t>TX0014</t>
  </si>
  <si>
    <t>TX0015</t>
  </si>
  <si>
    <t>TX0016</t>
  </si>
  <si>
    <t>TX0017</t>
  </si>
  <si>
    <t>TX0018</t>
  </si>
  <si>
    <t>TX0019</t>
  </si>
  <si>
    <t>TX0020</t>
  </si>
  <si>
    <t>TX0021</t>
  </si>
  <si>
    <t>TX0022</t>
  </si>
  <si>
    <t>TX0023</t>
  </si>
  <si>
    <t>TX0024</t>
  </si>
  <si>
    <t>TX0025</t>
  </si>
  <si>
    <t>TX0026</t>
  </si>
  <si>
    <t>TX0027</t>
  </si>
  <si>
    <t>TX0028</t>
  </si>
  <si>
    <t>TX0029</t>
  </si>
  <si>
    <t>TX0030</t>
  </si>
  <si>
    <t>TX0031</t>
  </si>
  <si>
    <t>TX0032</t>
  </si>
  <si>
    <t>TX0033</t>
  </si>
  <si>
    <t>TX0034</t>
  </si>
  <si>
    <t>TX0035</t>
  </si>
  <si>
    <t>TX0036</t>
  </si>
  <si>
    <t>TX0037</t>
  </si>
  <si>
    <t>TX0038</t>
  </si>
  <si>
    <t>TX0039</t>
  </si>
  <si>
    <t>TX0040</t>
  </si>
  <si>
    <t>TX0041</t>
  </si>
  <si>
    <t>TX0042</t>
  </si>
  <si>
    <t>TX0043</t>
  </si>
  <si>
    <t>TX0044</t>
  </si>
  <si>
    <t>TX0045</t>
  </si>
  <si>
    <t>TX0046</t>
  </si>
  <si>
    <t>TX0047</t>
  </si>
  <si>
    <t>TX0048</t>
  </si>
  <si>
    <t>TX0049</t>
  </si>
  <si>
    <t>TX0050</t>
  </si>
  <si>
    <t>TX0051</t>
  </si>
  <si>
    <t>TX0052</t>
  </si>
  <si>
    <t>TX0053</t>
  </si>
  <si>
    <t>TX0054</t>
  </si>
  <si>
    <t>TX0055</t>
  </si>
  <si>
    <t>TX0056</t>
  </si>
  <si>
    <t>TX0057</t>
  </si>
  <si>
    <t>TX0058</t>
  </si>
  <si>
    <t>TX0059</t>
  </si>
  <si>
    <t>TX0060</t>
  </si>
  <si>
    <t>TX0061</t>
  </si>
  <si>
    <t>TX0062</t>
  </si>
  <si>
    <t>TX0063</t>
  </si>
  <si>
    <t>TX0064</t>
  </si>
  <si>
    <t>TX0065</t>
  </si>
  <si>
    <t>TX0066</t>
  </si>
  <si>
    <t>TX0067</t>
  </si>
  <si>
    <t>TX0068</t>
  </si>
  <si>
    <t>TX0069</t>
  </si>
  <si>
    <t>TX0070</t>
  </si>
  <si>
    <t>TX0071</t>
  </si>
  <si>
    <t>TX0072</t>
  </si>
  <si>
    <t>TX0073</t>
  </si>
  <si>
    <t>TX0074</t>
  </si>
  <si>
    <t>TX0075</t>
  </si>
  <si>
    <t>TX0076</t>
  </si>
  <si>
    <t>TX0077</t>
  </si>
  <si>
    <t>TX0078</t>
  </si>
  <si>
    <t>TX0079</t>
  </si>
  <si>
    <t>TX0080</t>
  </si>
  <si>
    <t>TX0081</t>
  </si>
  <si>
    <t>TX0082</t>
  </si>
  <si>
    <t>TX0083</t>
  </si>
  <si>
    <t>TX0084</t>
  </si>
  <si>
    <t>TX0085</t>
  </si>
  <si>
    <t>TX0086</t>
  </si>
  <si>
    <t>TX0087</t>
  </si>
  <si>
    <t>TX0088</t>
  </si>
  <si>
    <t>TX0089</t>
  </si>
  <si>
    <t>TX0090</t>
  </si>
  <si>
    <t>TX0091</t>
  </si>
  <si>
    <t>TX0092</t>
  </si>
  <si>
    <t>TX0093</t>
  </si>
  <si>
    <t>TX0094</t>
  </si>
  <si>
    <t>TX0095</t>
  </si>
  <si>
    <t>TX0096</t>
  </si>
  <si>
    <t>TX0097</t>
  </si>
  <si>
    <t>TX0098</t>
  </si>
  <si>
    <t>TX0099</t>
  </si>
  <si>
    <t>TX0100</t>
  </si>
  <si>
    <t>TX0101</t>
  </si>
  <si>
    <t>TX0102</t>
  </si>
  <si>
    <t>TX0103</t>
  </si>
  <si>
    <t>TX0104</t>
  </si>
  <si>
    <t>TX0105</t>
  </si>
  <si>
    <t>TX0106</t>
  </si>
  <si>
    <t>TX0107</t>
  </si>
  <si>
    <t>TX0108</t>
  </si>
  <si>
    <t>TX0109</t>
  </si>
  <si>
    <t>TX0110</t>
  </si>
  <si>
    <t>TX0111</t>
  </si>
  <si>
    <t>TX0112</t>
  </si>
  <si>
    <t>TX0113</t>
  </si>
  <si>
    <t>TX0114</t>
  </si>
  <si>
    <t>TX0115</t>
  </si>
  <si>
    <t>TX0116</t>
  </si>
  <si>
    <t>TX0117</t>
  </si>
  <si>
    <t>TX0118</t>
  </si>
  <si>
    <t>TX0119</t>
  </si>
  <si>
    <t>TX0120</t>
  </si>
  <si>
    <t>TX0121</t>
  </si>
  <si>
    <t>TX0122</t>
  </si>
  <si>
    <t>TX0123</t>
  </si>
  <si>
    <t>TX0124</t>
  </si>
  <si>
    <t>TX0125</t>
  </si>
  <si>
    <t>TX0126</t>
  </si>
  <si>
    <t>TX0127</t>
  </si>
  <si>
    <t>TX0128</t>
  </si>
  <si>
    <t>TX0129</t>
  </si>
  <si>
    <t>TX0130</t>
  </si>
  <si>
    <t>TX0131</t>
  </si>
  <si>
    <t>TX0132</t>
  </si>
  <si>
    <t>TX0133</t>
  </si>
  <si>
    <t>TX0134</t>
  </si>
  <si>
    <t>TX0135</t>
  </si>
  <si>
    <t>TX0136</t>
  </si>
  <si>
    <t>TX0137</t>
  </si>
  <si>
    <t>TX0138</t>
  </si>
  <si>
    <t>TX0139</t>
  </si>
  <si>
    <t>TX0140</t>
  </si>
  <si>
    <t>TX0141</t>
  </si>
  <si>
    <t>TX0142</t>
  </si>
  <si>
    <t>TX0143</t>
  </si>
  <si>
    <t>TX0144</t>
  </si>
  <si>
    <t>TX0145</t>
  </si>
  <si>
    <t>TX0146</t>
  </si>
  <si>
    <t>TX0147</t>
  </si>
  <si>
    <t>TX0148</t>
  </si>
  <si>
    <t>TX0149</t>
  </si>
  <si>
    <t>TX0150</t>
  </si>
  <si>
    <t>TX0151</t>
  </si>
  <si>
    <t>TX0152</t>
  </si>
  <si>
    <t>TX0153</t>
  </si>
  <si>
    <t>TX0154</t>
  </si>
  <si>
    <t>TX0155</t>
  </si>
  <si>
    <t>TX0156</t>
  </si>
  <si>
    <t>TX0157</t>
  </si>
  <si>
    <t>TX0158</t>
  </si>
  <si>
    <t>TX0159</t>
  </si>
  <si>
    <t>TX0160</t>
  </si>
  <si>
    <t>TX0161</t>
  </si>
  <si>
    <t>TX0162</t>
  </si>
  <si>
    <t>TX0163</t>
  </si>
  <si>
    <t>TX0164</t>
  </si>
  <si>
    <t>TX0165</t>
  </si>
  <si>
    <t>TX0166</t>
  </si>
  <si>
    <t>TX0167</t>
  </si>
  <si>
    <t>TX0168</t>
  </si>
  <si>
    <t>TX0169</t>
  </si>
  <si>
    <t>TX0170</t>
  </si>
  <si>
    <t>TX0171</t>
  </si>
  <si>
    <t>TX0172</t>
  </si>
  <si>
    <t>TX0173</t>
  </si>
  <si>
    <t>TX0174</t>
  </si>
  <si>
    <t>TX0175</t>
  </si>
  <si>
    <t>TX0176</t>
  </si>
  <si>
    <t>TX0177</t>
  </si>
  <si>
    <t>TX0178</t>
  </si>
  <si>
    <t>TX0179</t>
  </si>
  <si>
    <t>TX0180</t>
  </si>
  <si>
    <t>TX0181</t>
  </si>
  <si>
    <t>TX0182</t>
  </si>
  <si>
    <t>TX0183</t>
  </si>
  <si>
    <t>TX0184</t>
  </si>
  <si>
    <t>TX0185</t>
  </si>
  <si>
    <t>TX0186</t>
  </si>
  <si>
    <t>TX0187</t>
  </si>
  <si>
    <t>TX0188</t>
  </si>
  <si>
    <t>TX0189</t>
  </si>
  <si>
    <t>TX0190</t>
  </si>
  <si>
    <t>TX0191</t>
  </si>
  <si>
    <t>TX0192</t>
  </si>
  <si>
    <t>TX0193</t>
  </si>
  <si>
    <t>TX0194</t>
  </si>
  <si>
    <t>TX0195</t>
  </si>
  <si>
    <t>TX0196</t>
  </si>
  <si>
    <t>TX0197</t>
  </si>
  <si>
    <t>TX0198</t>
  </si>
  <si>
    <t>TX0199</t>
  </si>
  <si>
    <t>TX0200</t>
  </si>
  <si>
    <t>TX0201</t>
  </si>
  <si>
    <t>TX0202</t>
  </si>
  <si>
    <t>TX0203</t>
  </si>
  <si>
    <t>TX0204</t>
  </si>
  <si>
    <t>TX0205</t>
  </si>
  <si>
    <t>TX0206</t>
  </si>
  <si>
    <t>TX0207</t>
  </si>
  <si>
    <t>TX0208</t>
  </si>
  <si>
    <t>TX0209</t>
  </si>
  <si>
    <t>TX0210</t>
  </si>
  <si>
    <t>TX0211</t>
  </si>
  <si>
    <t>TX0212</t>
  </si>
  <si>
    <t>TX0213</t>
  </si>
  <si>
    <t>TX0214</t>
  </si>
  <si>
    <t>TX0215</t>
  </si>
  <si>
    <t>TX0216</t>
  </si>
  <si>
    <t>TX0217</t>
  </si>
  <si>
    <t>TX0218</t>
  </si>
  <si>
    <t>TX0219</t>
  </si>
  <si>
    <t>TX0220</t>
  </si>
  <si>
    <t>TX0221</t>
  </si>
  <si>
    <t>TX0222</t>
  </si>
  <si>
    <t>TX0223</t>
  </si>
  <si>
    <t>TX0224</t>
  </si>
  <si>
    <t>TX0225</t>
  </si>
  <si>
    <t>TX0226</t>
  </si>
  <si>
    <t>TX0227</t>
  </si>
  <si>
    <t>TX0228</t>
  </si>
  <si>
    <t>TX0229</t>
  </si>
  <si>
    <t>TX0230</t>
  </si>
  <si>
    <t>TX0231</t>
  </si>
  <si>
    <t>TX0232</t>
  </si>
  <si>
    <t>TX0233</t>
  </si>
  <si>
    <t>TX0234</t>
  </si>
  <si>
    <t>TX0235</t>
  </si>
  <si>
    <t>TX0236</t>
  </si>
  <si>
    <t>TX0237</t>
  </si>
  <si>
    <t>TX0238</t>
  </si>
  <si>
    <t>TX0239</t>
  </si>
  <si>
    <t>TX0240</t>
  </si>
  <si>
    <t>TX0241</t>
  </si>
  <si>
    <t>TX0242</t>
  </si>
  <si>
    <t>TX0243</t>
  </si>
  <si>
    <t>TX0244</t>
  </si>
  <si>
    <t>TX0245</t>
  </si>
  <si>
    <t>TX0246</t>
  </si>
  <si>
    <t>TX0247</t>
  </si>
  <si>
    <t>TX0248</t>
  </si>
  <si>
    <t>TX0249</t>
  </si>
  <si>
    <t>TX0250</t>
  </si>
  <si>
    <t>TX0251</t>
  </si>
  <si>
    <t>TX0252</t>
  </si>
  <si>
    <t>TX0253</t>
  </si>
  <si>
    <t>TX0254</t>
  </si>
  <si>
    <t>TX0255</t>
  </si>
  <si>
    <t>TX0256</t>
  </si>
  <si>
    <t>TX0257</t>
  </si>
  <si>
    <t>TX0258</t>
  </si>
  <si>
    <t>TX0259</t>
  </si>
  <si>
    <t>TX0260</t>
  </si>
  <si>
    <t>TX0261</t>
  </si>
  <si>
    <t>TX0262</t>
  </si>
  <si>
    <t>TX0263</t>
  </si>
  <si>
    <t>TX0264</t>
  </si>
  <si>
    <t>TX0265</t>
  </si>
  <si>
    <t>TX0266</t>
  </si>
  <si>
    <t>TX0267</t>
  </si>
  <si>
    <t>TX0268</t>
  </si>
  <si>
    <t>TX0269</t>
  </si>
  <si>
    <t>TX0270</t>
  </si>
  <si>
    <t>TX0271</t>
  </si>
  <si>
    <t>TX0272</t>
  </si>
  <si>
    <t>TX0273</t>
  </si>
  <si>
    <t>TX0274</t>
  </si>
  <si>
    <t>TX0275</t>
  </si>
  <si>
    <t>TX0276</t>
  </si>
  <si>
    <t>TX0277</t>
  </si>
  <si>
    <t>TX0278</t>
  </si>
  <si>
    <t>TX0279</t>
  </si>
  <si>
    <t>TX0280</t>
  </si>
  <si>
    <t>TX0281</t>
  </si>
  <si>
    <t>TX0282</t>
  </si>
  <si>
    <t>TX0283</t>
  </si>
  <si>
    <t>TX0284</t>
  </si>
  <si>
    <t>TX0285</t>
  </si>
  <si>
    <t>TX0286</t>
  </si>
  <si>
    <t>TX0287</t>
  </si>
  <si>
    <t>TX0288</t>
  </si>
  <si>
    <t>TX0289</t>
  </si>
  <si>
    <t>TX0290</t>
  </si>
  <si>
    <t>TX0291</t>
  </si>
  <si>
    <t>TX0292</t>
  </si>
  <si>
    <t>TX0293</t>
  </si>
  <si>
    <t>TX0294</t>
  </si>
  <si>
    <t>TX0295</t>
  </si>
  <si>
    <t>TX0296</t>
  </si>
  <si>
    <t>TX0297</t>
  </si>
  <si>
    <t>TX0298</t>
  </si>
  <si>
    <t>TX0299</t>
  </si>
  <si>
    <t>TX0300</t>
  </si>
  <si>
    <t>TX0301</t>
  </si>
  <si>
    <t>TX0302</t>
  </si>
  <si>
    <t>TX0303</t>
  </si>
  <si>
    <t>TX0304</t>
  </si>
  <si>
    <t>TX0305</t>
  </si>
  <si>
    <t>TX0306</t>
  </si>
  <si>
    <t>TX0307</t>
  </si>
  <si>
    <t>TX0308</t>
  </si>
  <si>
    <t>TX0309</t>
  </si>
  <si>
    <t>TX0310</t>
  </si>
  <si>
    <t>TX0311</t>
  </si>
  <si>
    <t>TX0312</t>
  </si>
  <si>
    <t>TX0313</t>
  </si>
  <si>
    <t>TX0314</t>
  </si>
  <si>
    <t>TX0315</t>
  </si>
  <si>
    <t>TX0316</t>
  </si>
  <si>
    <t>TX0317</t>
  </si>
  <si>
    <t>TX0318</t>
  </si>
  <si>
    <t>TX0319</t>
  </si>
  <si>
    <t>TX0320</t>
  </si>
  <si>
    <t>TX0321</t>
  </si>
  <si>
    <t>TX0322</t>
  </si>
  <si>
    <t>TX0323</t>
  </si>
  <si>
    <t>TX0324</t>
  </si>
  <si>
    <t>TX0325</t>
  </si>
  <si>
    <t>TX0326</t>
  </si>
  <si>
    <t>TX0327</t>
  </si>
  <si>
    <t>TX0328</t>
  </si>
  <si>
    <t>TX0329</t>
  </si>
  <si>
    <t>TX0330</t>
  </si>
  <si>
    <t>TX0331</t>
  </si>
  <si>
    <t>TX0332</t>
  </si>
  <si>
    <t>TX0333</t>
  </si>
  <si>
    <t>TX0334</t>
  </si>
  <si>
    <t>TX0335</t>
  </si>
  <si>
    <t>TX0336</t>
  </si>
  <si>
    <t>TX0337</t>
  </si>
  <si>
    <t>TX0338</t>
  </si>
  <si>
    <t>TX0339</t>
  </si>
  <si>
    <t>TX0340</t>
  </si>
  <si>
    <t>TX0341</t>
  </si>
  <si>
    <t>TX0342</t>
  </si>
  <si>
    <t>TX0343</t>
  </si>
  <si>
    <t>TX0344</t>
  </si>
  <si>
    <t>TX0345</t>
  </si>
  <si>
    <t>TX0346</t>
  </si>
  <si>
    <t>TX0347</t>
  </si>
  <si>
    <t>TX0348</t>
  </si>
  <si>
    <t>TX0349</t>
  </si>
  <si>
    <t>TX0350</t>
  </si>
  <si>
    <t>TX0351</t>
  </si>
  <si>
    <t>TX0352</t>
  </si>
  <si>
    <t>TX0353</t>
  </si>
  <si>
    <t>TX0354</t>
  </si>
  <si>
    <t>TX0355</t>
  </si>
  <si>
    <t>TX0356</t>
  </si>
  <si>
    <t>TX0357</t>
  </si>
  <si>
    <t>TX0358</t>
  </si>
  <si>
    <t>TX0359</t>
  </si>
  <si>
    <t>TX0360</t>
  </si>
  <si>
    <t>TX0361</t>
  </si>
  <si>
    <t>TX0362</t>
  </si>
  <si>
    <t>TX0363</t>
  </si>
  <si>
    <t>TX0364</t>
  </si>
  <si>
    <t>TX0365</t>
  </si>
  <si>
    <t>TX0366</t>
  </si>
  <si>
    <t>TX0367</t>
  </si>
  <si>
    <t>TX0368</t>
  </si>
  <si>
    <t>TX0369</t>
  </si>
  <si>
    <t>TX0370</t>
  </si>
  <si>
    <t>TX0371</t>
  </si>
  <si>
    <t>TX0372</t>
  </si>
  <si>
    <t>TX0373</t>
  </si>
  <si>
    <t>TX0374</t>
  </si>
  <si>
    <t>TX0375</t>
  </si>
  <si>
    <t>TX0376</t>
  </si>
  <si>
    <t>TX0377</t>
  </si>
  <si>
    <t>TX0378</t>
  </si>
  <si>
    <t>TX0379</t>
  </si>
  <si>
    <t>TX0380</t>
  </si>
  <si>
    <t>TX0381</t>
  </si>
  <si>
    <t>TX0382</t>
  </si>
  <si>
    <t>TX0383</t>
  </si>
  <si>
    <t>TX0384</t>
  </si>
  <si>
    <t>TX0385</t>
  </si>
  <si>
    <t>TX0386</t>
  </si>
  <si>
    <t>TX0387</t>
  </si>
  <si>
    <t>TX0388</t>
  </si>
  <si>
    <t>TX0389</t>
  </si>
  <si>
    <t>TX0390</t>
  </si>
  <si>
    <t>TX0391</t>
  </si>
  <si>
    <t>TX0392</t>
  </si>
  <si>
    <t>TX0393</t>
  </si>
  <si>
    <t>TX0394</t>
  </si>
  <si>
    <t>TX0395</t>
  </si>
  <si>
    <t>TX0396</t>
  </si>
  <si>
    <t>TX0397</t>
  </si>
  <si>
    <t>TX0398</t>
  </si>
  <si>
    <t>TX0399</t>
  </si>
  <si>
    <t>TX0400</t>
  </si>
  <si>
    <t>TX0401</t>
  </si>
  <si>
    <t>TX0402</t>
  </si>
  <si>
    <t>TX0403</t>
  </si>
  <si>
    <t>TX0404</t>
  </si>
  <si>
    <t>TX0405</t>
  </si>
  <si>
    <t>TX0406</t>
  </si>
  <si>
    <t>TX0407</t>
  </si>
  <si>
    <t>TX0408</t>
  </si>
  <si>
    <t>TX0409</t>
  </si>
  <si>
    <t>TX0410</t>
  </si>
  <si>
    <t>TX0411</t>
  </si>
  <si>
    <t>TX0412</t>
  </si>
  <si>
    <t>TX0413</t>
  </si>
  <si>
    <t>TX0414</t>
  </si>
  <si>
    <t>TX0415</t>
  </si>
  <si>
    <t>TX0416</t>
  </si>
  <si>
    <t>TX0417</t>
  </si>
  <si>
    <t>TX0418</t>
  </si>
  <si>
    <t>TX0419</t>
  </si>
  <si>
    <t>TX0420</t>
  </si>
  <si>
    <t>TX0421</t>
  </si>
  <si>
    <t>TX0422</t>
  </si>
  <si>
    <t>TX0423</t>
  </si>
  <si>
    <t>TX0424</t>
  </si>
  <si>
    <t>TX0425</t>
  </si>
  <si>
    <t>TX0426</t>
  </si>
  <si>
    <t>TX0427</t>
  </si>
  <si>
    <t>TX0428</t>
  </si>
  <si>
    <t>TX0429</t>
  </si>
  <si>
    <t>TX0430</t>
  </si>
  <si>
    <t>TX0431</t>
  </si>
  <si>
    <t>TX0432</t>
  </si>
  <si>
    <t>TX0433</t>
  </si>
  <si>
    <t>TX0434</t>
  </si>
  <si>
    <t>TX0435</t>
  </si>
  <si>
    <t>TX0436</t>
  </si>
  <si>
    <t>TX0437</t>
  </si>
  <si>
    <t>TX0438</t>
  </si>
  <si>
    <t>TX0439</t>
  </si>
  <si>
    <t>TX0440</t>
  </si>
  <si>
    <t>TX0441</t>
  </si>
  <si>
    <t>TX0442</t>
  </si>
  <si>
    <t>TX0443</t>
  </si>
  <si>
    <t>TX0444</t>
  </si>
  <si>
    <t>TX0445</t>
  </si>
  <si>
    <t>TX0446</t>
  </si>
  <si>
    <t>TX0447</t>
  </si>
  <si>
    <t>TX0448</t>
  </si>
  <si>
    <t>TX0449</t>
  </si>
  <si>
    <t>TX0450</t>
  </si>
  <si>
    <t>TX0451</t>
  </si>
  <si>
    <t>TX0452</t>
  </si>
  <si>
    <t>TX0453</t>
  </si>
  <si>
    <t>TX0454</t>
  </si>
  <si>
    <t>TX0455</t>
  </si>
  <si>
    <t>TX0456</t>
  </si>
  <si>
    <t>TX0457</t>
  </si>
  <si>
    <t>TX0458</t>
  </si>
  <si>
    <t>TX0459</t>
  </si>
  <si>
    <t>TX0460</t>
  </si>
  <si>
    <t>TX0461</t>
  </si>
  <si>
    <t>TX0462</t>
  </si>
  <si>
    <t>TX0463</t>
  </si>
  <si>
    <t>TX0464</t>
  </si>
  <si>
    <t>TX0465</t>
  </si>
  <si>
    <t>TX0466</t>
  </si>
  <si>
    <t>TX0467</t>
  </si>
  <si>
    <t>TX0468</t>
  </si>
  <si>
    <t>TX0469</t>
  </si>
  <si>
    <t>TX0470</t>
  </si>
  <si>
    <t>TX0471</t>
  </si>
  <si>
    <t>TX0472</t>
  </si>
  <si>
    <t>TX0473</t>
  </si>
  <si>
    <t>TX0474</t>
  </si>
  <si>
    <t>TX0475</t>
  </si>
  <si>
    <t>TX0476</t>
  </si>
  <si>
    <t>TX0477</t>
  </si>
  <si>
    <t>TX0478</t>
  </si>
  <si>
    <t>TX0479</t>
  </si>
  <si>
    <t>TX0480</t>
  </si>
  <si>
    <t>TX0481</t>
  </si>
  <si>
    <t>TX0482</t>
  </si>
  <si>
    <t>TX0483</t>
  </si>
  <si>
    <t>TX0484</t>
  </si>
  <si>
    <t>TX0485</t>
  </si>
  <si>
    <t>TX0486</t>
  </si>
  <si>
    <t>TX0487</t>
  </si>
  <si>
    <t>TX0488</t>
  </si>
  <si>
    <t>TX0489</t>
  </si>
  <si>
    <t>TX0490</t>
  </si>
  <si>
    <t>TX0491</t>
  </si>
  <si>
    <t>TX0492</t>
  </si>
  <si>
    <t>TX0493</t>
  </si>
  <si>
    <t>TX0494</t>
  </si>
  <si>
    <t>TX0495</t>
  </si>
  <si>
    <t>TX0496</t>
  </si>
  <si>
    <t>TX0497</t>
  </si>
  <si>
    <t>TX0498</t>
  </si>
  <si>
    <t>TX0499</t>
  </si>
  <si>
    <t>TX0500</t>
  </si>
  <si>
    <t>TX0501</t>
  </si>
  <si>
    <t>TX0502</t>
  </si>
  <si>
    <t>TX0503</t>
  </si>
  <si>
    <t>TX0504</t>
  </si>
  <si>
    <t>TX0505</t>
  </si>
  <si>
    <t>TX0506</t>
  </si>
  <si>
    <t>TX0507</t>
  </si>
  <si>
    <t>TX0508</t>
  </si>
  <si>
    <t>TX0509</t>
  </si>
  <si>
    <t>TX0510</t>
  </si>
  <si>
    <t>TX0511</t>
  </si>
  <si>
    <t>TX0512</t>
  </si>
  <si>
    <t>TX0513</t>
  </si>
  <si>
    <t>TX0514</t>
  </si>
  <si>
    <t>TX0515</t>
  </si>
  <si>
    <t>TX0516</t>
  </si>
  <si>
    <t>TX0517</t>
  </si>
  <si>
    <t>TX0518</t>
  </si>
  <si>
    <t>TX0519</t>
  </si>
  <si>
    <t>TX0520</t>
  </si>
  <si>
    <t>TX0521</t>
  </si>
  <si>
    <t>TX0522</t>
  </si>
  <si>
    <t>TX0523</t>
  </si>
  <si>
    <t>TX0524</t>
  </si>
  <si>
    <t>TX0525</t>
  </si>
  <si>
    <t>TX0526</t>
  </si>
  <si>
    <t>TX0527</t>
  </si>
  <si>
    <t>TX0528</t>
  </si>
  <si>
    <t>TX0529</t>
  </si>
  <si>
    <t>TX0530</t>
  </si>
  <si>
    <t>TX0531</t>
  </si>
  <si>
    <t>TX0532</t>
  </si>
  <si>
    <t>TX0533</t>
  </si>
  <si>
    <t>TX0534</t>
  </si>
  <si>
    <t>TX0535</t>
  </si>
  <si>
    <t>TX0536</t>
  </si>
  <si>
    <t>TX0537</t>
  </si>
  <si>
    <t>TX0538</t>
  </si>
  <si>
    <t>TX0539</t>
  </si>
  <si>
    <t>TX0540</t>
  </si>
  <si>
    <t>TX0541</t>
  </si>
  <si>
    <t>TX0542</t>
  </si>
  <si>
    <t>TX0543</t>
  </si>
  <si>
    <t>TX0544</t>
  </si>
  <si>
    <t>TX0545</t>
  </si>
  <si>
    <t>TX0546</t>
  </si>
  <si>
    <t>TX0547</t>
  </si>
  <si>
    <t>TX0548</t>
  </si>
  <si>
    <t>TX0549</t>
  </si>
  <si>
    <t>TX0550</t>
  </si>
  <si>
    <t>TX0551</t>
  </si>
  <si>
    <t>TX0552</t>
  </si>
  <si>
    <t>TX0553</t>
  </si>
  <si>
    <t>TX0554</t>
  </si>
  <si>
    <t>TX0555</t>
  </si>
  <si>
    <t>TX0556</t>
  </si>
  <si>
    <t>TX0557</t>
  </si>
  <si>
    <t>TX0558</t>
  </si>
  <si>
    <t>TX0559</t>
  </si>
  <si>
    <t>TX0560</t>
  </si>
  <si>
    <t>TX0561</t>
  </si>
  <si>
    <t>TX0562</t>
  </si>
  <si>
    <t>TX0563</t>
  </si>
  <si>
    <t>TX0564</t>
  </si>
  <si>
    <t>TX0565</t>
  </si>
  <si>
    <t>TX0566</t>
  </si>
  <si>
    <t>TX0567</t>
  </si>
  <si>
    <t>TX0568</t>
  </si>
  <si>
    <t>TX0569</t>
  </si>
  <si>
    <t>TX0570</t>
  </si>
  <si>
    <t>TX0571</t>
  </si>
  <si>
    <t>TX0572</t>
  </si>
  <si>
    <t>TX0573</t>
  </si>
  <si>
    <t>TX0574</t>
  </si>
  <si>
    <t>TX0575</t>
  </si>
  <si>
    <t>TX0576</t>
  </si>
  <si>
    <t>TX0577</t>
  </si>
  <si>
    <t>TX0578</t>
  </si>
  <si>
    <t>TX0579</t>
  </si>
  <si>
    <t>TX0580</t>
  </si>
  <si>
    <t>TX0581</t>
  </si>
  <si>
    <t>TX0582</t>
  </si>
  <si>
    <t>TX0583</t>
  </si>
  <si>
    <t>TX0584</t>
  </si>
  <si>
    <t>TX0585</t>
  </si>
  <si>
    <t>TX0586</t>
  </si>
  <si>
    <t>TX0587</t>
  </si>
  <si>
    <t>TX0588</t>
  </si>
  <si>
    <t>TX0589</t>
  </si>
  <si>
    <t>TX0590</t>
  </si>
  <si>
    <t>TX0591</t>
  </si>
  <si>
    <t>TX0592</t>
  </si>
  <si>
    <t>TX0593</t>
  </si>
  <si>
    <t>TX0594</t>
  </si>
  <si>
    <t>TX0595</t>
  </si>
  <si>
    <t>TX0596</t>
  </si>
  <si>
    <t>TX0597</t>
  </si>
  <si>
    <t>TX0598</t>
  </si>
  <si>
    <t>TX0599</t>
  </si>
  <si>
    <t>TX0600</t>
  </si>
  <si>
    <t>TX0601</t>
  </si>
  <si>
    <t>TX0602</t>
  </si>
  <si>
    <t>TX0603</t>
  </si>
  <si>
    <t>TX0604</t>
  </si>
  <si>
    <t>TX0605</t>
  </si>
  <si>
    <t>TX0606</t>
  </si>
  <si>
    <t>TX0607</t>
  </si>
  <si>
    <t>TX0608</t>
  </si>
  <si>
    <t>TX0609</t>
  </si>
  <si>
    <t>TX0610</t>
  </si>
  <si>
    <t>TX0611</t>
  </si>
  <si>
    <t>TX0612</t>
  </si>
  <si>
    <t>TX0613</t>
  </si>
  <si>
    <t>TX0614</t>
  </si>
  <si>
    <t>TX0615</t>
  </si>
  <si>
    <t>TX0616</t>
  </si>
  <si>
    <t>TX0617</t>
  </si>
  <si>
    <t>TX0618</t>
  </si>
  <si>
    <t>TX0619</t>
  </si>
  <si>
    <t>TX0620</t>
  </si>
  <si>
    <t>TX0621</t>
  </si>
  <si>
    <t>TX0622</t>
  </si>
  <si>
    <t>TX0623</t>
  </si>
  <si>
    <t>TX0624</t>
  </si>
  <si>
    <t>TX0625</t>
  </si>
  <si>
    <t>TX0626</t>
  </si>
  <si>
    <t>TX0627</t>
  </si>
  <si>
    <t>TX0628</t>
  </si>
  <si>
    <t>TX0629</t>
  </si>
  <si>
    <t>TX0630</t>
  </si>
  <si>
    <t>TX0631</t>
  </si>
  <si>
    <t>TX0632</t>
  </si>
  <si>
    <t>TX0633</t>
  </si>
  <si>
    <t>TX0634</t>
  </si>
  <si>
    <t>TX0635</t>
  </si>
  <si>
    <t>TX0636</t>
  </si>
  <si>
    <t>TX0637</t>
  </si>
  <si>
    <t>TX0638</t>
  </si>
  <si>
    <t>TX0639</t>
  </si>
  <si>
    <t>TX0640</t>
  </si>
  <si>
    <t>TX0641</t>
  </si>
  <si>
    <t>TX0642</t>
  </si>
  <si>
    <t>TX0643</t>
  </si>
  <si>
    <t>TX0644</t>
  </si>
  <si>
    <t>TX0645</t>
  </si>
  <si>
    <t>TX0646</t>
  </si>
  <si>
    <t>TX0647</t>
  </si>
  <si>
    <t>TX0648</t>
  </si>
  <si>
    <t>TX0649</t>
  </si>
  <si>
    <t>TX0650</t>
  </si>
  <si>
    <t>TX0651</t>
  </si>
  <si>
    <t>TX0652</t>
  </si>
  <si>
    <t>TX0653</t>
  </si>
  <si>
    <t>TX0654</t>
  </si>
  <si>
    <t>TX0655</t>
  </si>
  <si>
    <t>TX0656</t>
  </si>
  <si>
    <t>TX0657</t>
  </si>
  <si>
    <t>TX0658</t>
  </si>
  <si>
    <t>TX0659</t>
  </si>
  <si>
    <t>TX0660</t>
  </si>
  <si>
    <t>TX0661</t>
  </si>
  <si>
    <t>TX0662</t>
  </si>
  <si>
    <t>TX0663</t>
  </si>
  <si>
    <t>TX0664</t>
  </si>
  <si>
    <t>TX0665</t>
  </si>
  <si>
    <t>TX0666</t>
  </si>
  <si>
    <t>TX0667</t>
  </si>
  <si>
    <t>TX0668</t>
  </si>
  <si>
    <t>TX0669</t>
  </si>
  <si>
    <t>TX0670</t>
  </si>
  <si>
    <t>TX0671</t>
  </si>
  <si>
    <t>TX0672</t>
  </si>
  <si>
    <t>TX0673</t>
  </si>
  <si>
    <t>TX0674</t>
  </si>
  <si>
    <t>TX0675</t>
  </si>
  <si>
    <t>TX0676</t>
  </si>
  <si>
    <t>TX0677</t>
  </si>
  <si>
    <t>TX0678</t>
  </si>
  <si>
    <t>TX0679</t>
  </si>
  <si>
    <t>TX0680</t>
  </si>
  <si>
    <t>TX0681</t>
  </si>
  <si>
    <t>TX0682</t>
  </si>
  <si>
    <t>TX0683</t>
  </si>
  <si>
    <t>TX0684</t>
  </si>
  <si>
    <t>TX0685</t>
  </si>
  <si>
    <t>TX0686</t>
  </si>
  <si>
    <t>TX0687</t>
  </si>
  <si>
    <t>TX0688</t>
  </si>
  <si>
    <t>TX0689</t>
  </si>
  <si>
    <t>TX0690</t>
  </si>
  <si>
    <t>TX0691</t>
  </si>
  <si>
    <t>TX0692</t>
  </si>
  <si>
    <t>TX0693</t>
  </si>
  <si>
    <t>TX0694</t>
  </si>
  <si>
    <t>TX0695</t>
  </si>
  <si>
    <t>TX0696</t>
  </si>
  <si>
    <t>TX0697</t>
  </si>
  <si>
    <t>TX0698</t>
  </si>
  <si>
    <t>TX0699</t>
  </si>
  <si>
    <t>TX0700</t>
  </si>
  <si>
    <t>TX0701</t>
  </si>
  <si>
    <t>TX0702</t>
  </si>
  <si>
    <t>TX0703</t>
  </si>
  <si>
    <t>TX0704</t>
  </si>
  <si>
    <t>TX0705</t>
  </si>
  <si>
    <t>TX0706</t>
  </si>
  <si>
    <t>TX0707</t>
  </si>
  <si>
    <t>TX0708</t>
  </si>
  <si>
    <t>TX0709</t>
  </si>
  <si>
    <t>TX0710</t>
  </si>
  <si>
    <t>TX0711</t>
  </si>
  <si>
    <t>TX0712</t>
  </si>
  <si>
    <t>TX0713</t>
  </si>
  <si>
    <t>TX0714</t>
  </si>
  <si>
    <t>TX0715</t>
  </si>
  <si>
    <t>TX0716</t>
  </si>
  <si>
    <t>TX0717</t>
  </si>
  <si>
    <t>TX0718</t>
  </si>
  <si>
    <t>TX0719</t>
  </si>
  <si>
    <t>TX0720</t>
  </si>
  <si>
    <t>TX0721</t>
  </si>
  <si>
    <t>TX0722</t>
  </si>
  <si>
    <t>TX0723</t>
  </si>
  <si>
    <t>TX0724</t>
  </si>
  <si>
    <t>TX0725</t>
  </si>
  <si>
    <t>TX0726</t>
  </si>
  <si>
    <t>TX0727</t>
  </si>
  <si>
    <t>TX0728</t>
  </si>
  <si>
    <t>TX0729</t>
  </si>
  <si>
    <t>TX0730</t>
  </si>
  <si>
    <t>TX0731</t>
  </si>
  <si>
    <t>TX0732</t>
  </si>
  <si>
    <t>TX0733</t>
  </si>
  <si>
    <t>TX0734</t>
  </si>
  <si>
    <t>TX0735</t>
  </si>
  <si>
    <t>TX0736</t>
  </si>
  <si>
    <t>TX0737</t>
  </si>
  <si>
    <t>TX0738</t>
  </si>
  <si>
    <t>TX0739</t>
  </si>
  <si>
    <t>TX0740</t>
  </si>
  <si>
    <t>TX0741</t>
  </si>
  <si>
    <t>TX0742</t>
  </si>
  <si>
    <t>TX0743</t>
  </si>
  <si>
    <t>TX0744</t>
  </si>
  <si>
    <t>TX0745</t>
  </si>
  <si>
    <t>TX0746</t>
  </si>
  <si>
    <t>TX0747</t>
  </si>
  <si>
    <t>TX0748</t>
  </si>
  <si>
    <t>TX0749</t>
  </si>
  <si>
    <t>TX0750</t>
  </si>
  <si>
    <t>TX0751</t>
  </si>
  <si>
    <t>TX0752</t>
  </si>
  <si>
    <t>TX0753</t>
  </si>
  <si>
    <t>TX0754</t>
  </si>
  <si>
    <t>TX0755</t>
  </si>
  <si>
    <t>TX0756</t>
  </si>
  <si>
    <t>TX0757</t>
  </si>
  <si>
    <t>TX0758</t>
  </si>
  <si>
    <t>TX0759</t>
  </si>
  <si>
    <t>TX0760</t>
  </si>
  <si>
    <t>TX0761</t>
  </si>
  <si>
    <t>TX0762</t>
  </si>
  <si>
    <t>TX0763</t>
  </si>
  <si>
    <t>TX0764</t>
  </si>
  <si>
    <t>TX0765</t>
  </si>
  <si>
    <t>TX0766</t>
  </si>
  <si>
    <t>TX0767</t>
  </si>
  <si>
    <t>TX0768</t>
  </si>
  <si>
    <t>TX0769</t>
  </si>
  <si>
    <t>TX0770</t>
  </si>
  <si>
    <t>TX0771</t>
  </si>
  <si>
    <t>TX0772</t>
  </si>
  <si>
    <t>TX0773</t>
  </si>
  <si>
    <t>TX0774</t>
  </si>
  <si>
    <t>TX0775</t>
  </si>
  <si>
    <t>TX0776</t>
  </si>
  <si>
    <t>TX0777</t>
  </si>
  <si>
    <t>TX0778</t>
  </si>
  <si>
    <t>TX0779</t>
  </si>
  <si>
    <t>TX0780</t>
  </si>
  <si>
    <t>TX0781</t>
  </si>
  <si>
    <t>TX0782</t>
  </si>
  <si>
    <t>TX0783</t>
  </si>
  <si>
    <t>TX0784</t>
  </si>
  <si>
    <t>TX0785</t>
  </si>
  <si>
    <t>TX0786</t>
  </si>
  <si>
    <t>TX0787</t>
  </si>
  <si>
    <t>TX0788</t>
  </si>
  <si>
    <t>TX0789</t>
  </si>
  <si>
    <t>TX0790</t>
  </si>
  <si>
    <t>TX0791</t>
  </si>
  <si>
    <t>TX0792</t>
  </si>
  <si>
    <t>TX0793</t>
  </si>
  <si>
    <t>TX0794</t>
  </si>
  <si>
    <t>TX0795</t>
  </si>
  <si>
    <t>TX0796</t>
  </si>
  <si>
    <t>TX0797</t>
  </si>
  <si>
    <t>TX0798</t>
  </si>
  <si>
    <t>TX0799</t>
  </si>
  <si>
    <t>TX0800</t>
  </si>
  <si>
    <t>TX0801</t>
  </si>
  <si>
    <t>TX0802</t>
  </si>
  <si>
    <t>TX0803</t>
  </si>
  <si>
    <t>TX0804</t>
  </si>
  <si>
    <t>TX0805</t>
  </si>
  <si>
    <t>TX0806</t>
  </si>
  <si>
    <t>TX0807</t>
  </si>
  <si>
    <t>TX0808</t>
  </si>
  <si>
    <t>TX0809</t>
  </si>
  <si>
    <t>TX0810</t>
  </si>
  <si>
    <t>TX0811</t>
  </si>
  <si>
    <t>TX0812</t>
  </si>
  <si>
    <t>TX0813</t>
  </si>
  <si>
    <t>TX0814</t>
  </si>
  <si>
    <t>TX0815</t>
  </si>
  <si>
    <t>TX0816</t>
  </si>
  <si>
    <t>TX0817</t>
  </si>
  <si>
    <t>TX0818</t>
  </si>
  <si>
    <t>TX0819</t>
  </si>
  <si>
    <t>TX0820</t>
  </si>
  <si>
    <t>TX0821</t>
  </si>
  <si>
    <t>TX0822</t>
  </si>
  <si>
    <t>TX0823</t>
  </si>
  <si>
    <t>TX0824</t>
  </si>
  <si>
    <t>TX0825</t>
  </si>
  <si>
    <t>TX0826</t>
  </si>
  <si>
    <t>TX0827</t>
  </si>
  <si>
    <t>TX0828</t>
  </si>
  <si>
    <t>TX0829</t>
  </si>
  <si>
    <t>TX0830</t>
  </si>
  <si>
    <t>TX0831</t>
  </si>
  <si>
    <t>TX0832</t>
  </si>
  <si>
    <t>TX0833</t>
  </si>
  <si>
    <t>TX0834</t>
  </si>
  <si>
    <t>TX0835</t>
  </si>
  <si>
    <t>TX0836</t>
  </si>
  <si>
    <t>TX0837</t>
  </si>
  <si>
    <t>TX0838</t>
  </si>
  <si>
    <t>TX0839</t>
  </si>
  <si>
    <t>TX0840</t>
  </si>
  <si>
    <t>TX0841</t>
  </si>
  <si>
    <t>TX0842</t>
  </si>
  <si>
    <t>TX0843</t>
  </si>
  <si>
    <t>TX0844</t>
  </si>
  <si>
    <t>TX0845</t>
  </si>
  <si>
    <t>TX0846</t>
  </si>
  <si>
    <t>TX0847</t>
  </si>
  <si>
    <t>TX0848</t>
  </si>
  <si>
    <t>TX0849</t>
  </si>
  <si>
    <t>TX0850</t>
  </si>
  <si>
    <t>TX0851</t>
  </si>
  <si>
    <t>TX0852</t>
  </si>
  <si>
    <t>TX0853</t>
  </si>
  <si>
    <t>TX0854</t>
  </si>
  <si>
    <t>TX0855</t>
  </si>
  <si>
    <t>TX0856</t>
  </si>
  <si>
    <t>TX0857</t>
  </si>
  <si>
    <t>TX0858</t>
  </si>
  <si>
    <t>TX0859</t>
  </si>
  <si>
    <t>TX0860</t>
  </si>
  <si>
    <t>TX0861</t>
  </si>
  <si>
    <t>TX0862</t>
  </si>
  <si>
    <t>TX0863</t>
  </si>
  <si>
    <t>TX0864</t>
  </si>
  <si>
    <t>TX0865</t>
  </si>
  <si>
    <t>TX0866</t>
  </si>
  <si>
    <t>TX0867</t>
  </si>
  <si>
    <t>TX0868</t>
  </si>
  <si>
    <t>TX0869</t>
  </si>
  <si>
    <t>TX0870</t>
  </si>
  <si>
    <t>TX0871</t>
  </si>
  <si>
    <t>TX0872</t>
  </si>
  <si>
    <t>TX0873</t>
  </si>
  <si>
    <t>TX0874</t>
  </si>
  <si>
    <t>TX0875</t>
  </si>
  <si>
    <t>TX0876</t>
  </si>
  <si>
    <t>TX0877</t>
  </si>
  <si>
    <t>TX0878</t>
  </si>
  <si>
    <t>TX0879</t>
  </si>
  <si>
    <t>TX0880</t>
  </si>
  <si>
    <t>TX0881</t>
  </si>
  <si>
    <t>TX0882</t>
  </si>
  <si>
    <t>TX0883</t>
  </si>
  <si>
    <t>TX0884</t>
  </si>
  <si>
    <t>TX0885</t>
  </si>
  <si>
    <t>TX0886</t>
  </si>
  <si>
    <t>TX0887</t>
  </si>
  <si>
    <t>TX0888</t>
  </si>
  <si>
    <t>TX0889</t>
  </si>
  <si>
    <t>TX0890</t>
  </si>
  <si>
    <t>TX0891</t>
  </si>
  <si>
    <t>TX0892</t>
  </si>
  <si>
    <t>TX0893</t>
  </si>
  <si>
    <t>TX0894</t>
  </si>
  <si>
    <t>TX0895</t>
  </si>
  <si>
    <t>TX0896</t>
  </si>
  <si>
    <t>TX0897</t>
  </si>
  <si>
    <t>TX0898</t>
  </si>
  <si>
    <t>TX0899</t>
  </si>
  <si>
    <t>TX0900</t>
  </si>
  <si>
    <t>TX0901</t>
  </si>
  <si>
    <t>TX0902</t>
  </si>
  <si>
    <t>TX0903</t>
  </si>
  <si>
    <t>TX0904</t>
  </si>
  <si>
    <t>TX0905</t>
  </si>
  <si>
    <t>TX0906</t>
  </si>
  <si>
    <t>TX0907</t>
  </si>
  <si>
    <t>TX0908</t>
  </si>
  <si>
    <t>TX0909</t>
  </si>
  <si>
    <t>TX0910</t>
  </si>
  <si>
    <t>TX0911</t>
  </si>
  <si>
    <t>TX0912</t>
  </si>
  <si>
    <t>TX0913</t>
  </si>
  <si>
    <t>TX0914</t>
  </si>
  <si>
    <t>TX0915</t>
  </si>
  <si>
    <t>TX0916</t>
  </si>
  <si>
    <t>TX0917</t>
  </si>
  <si>
    <t>TX0918</t>
  </si>
  <si>
    <t>TX0919</t>
  </si>
  <si>
    <t>TX0920</t>
  </si>
  <si>
    <t>TX0921</t>
  </si>
  <si>
    <t>TX0922</t>
  </si>
  <si>
    <t>TX0923</t>
  </si>
  <si>
    <t>TX0924</t>
  </si>
  <si>
    <t>TX0925</t>
  </si>
  <si>
    <t>TX0926</t>
  </si>
  <si>
    <t>TX0927</t>
  </si>
  <si>
    <t>TX0928</t>
  </si>
  <si>
    <t>TX0929</t>
  </si>
  <si>
    <t>TX0930</t>
  </si>
  <si>
    <t>TX0931</t>
  </si>
  <si>
    <t>TX0932</t>
  </si>
  <si>
    <t>TX0933</t>
  </si>
  <si>
    <t>TX0934</t>
  </si>
  <si>
    <t>TX0935</t>
  </si>
  <si>
    <t>TX0936</t>
  </si>
  <si>
    <t>TX0937</t>
  </si>
  <si>
    <t>TX0938</t>
  </si>
  <si>
    <t>TX0939</t>
  </si>
  <si>
    <t>TX0940</t>
  </si>
  <si>
    <t>TX0941</t>
  </si>
  <si>
    <t>TX0942</t>
  </si>
  <si>
    <t>TX0943</t>
  </si>
  <si>
    <t>TX0944</t>
  </si>
  <si>
    <t>TX0945</t>
  </si>
  <si>
    <t>TX0946</t>
  </si>
  <si>
    <t>TX0947</t>
  </si>
  <si>
    <t>TX0948</t>
  </si>
  <si>
    <t>TX0949</t>
  </si>
  <si>
    <t>TX0950</t>
  </si>
  <si>
    <t>TX0951</t>
  </si>
  <si>
    <t>TX0952</t>
  </si>
  <si>
    <t>TX0953</t>
  </si>
  <si>
    <t>TX0954</t>
  </si>
  <si>
    <t>TX0955</t>
  </si>
  <si>
    <t>TX0956</t>
  </si>
  <si>
    <t>TX0957</t>
  </si>
  <si>
    <t>TX0958</t>
  </si>
  <si>
    <t>TX0959</t>
  </si>
  <si>
    <t>TX0960</t>
  </si>
  <si>
    <t>TX0961</t>
  </si>
  <si>
    <t>TX0962</t>
  </si>
  <si>
    <t>TX0963</t>
  </si>
  <si>
    <t>TX0964</t>
  </si>
  <si>
    <t>TX0965</t>
  </si>
  <si>
    <t>TX0966</t>
  </si>
  <si>
    <t>TX0967</t>
  </si>
  <si>
    <t>TX0968</t>
  </si>
  <si>
    <t>TX0969</t>
  </si>
  <si>
    <t>TX0970</t>
  </si>
  <si>
    <t>TX0971</t>
  </si>
  <si>
    <t>TX0972</t>
  </si>
  <si>
    <t>TX0973</t>
  </si>
  <si>
    <t>TX0974</t>
  </si>
  <si>
    <t>TX0975</t>
  </si>
  <si>
    <t>TX0976</t>
  </si>
  <si>
    <t>TX0977</t>
  </si>
  <si>
    <t>TX0978</t>
  </si>
  <si>
    <t>TX0979</t>
  </si>
  <si>
    <t>TX0980</t>
  </si>
  <si>
    <t>TX0981</t>
  </si>
  <si>
    <t>TX0982</t>
  </si>
  <si>
    <t>TX0983</t>
  </si>
  <si>
    <t>TX0984</t>
  </si>
  <si>
    <t>TX0985</t>
  </si>
  <si>
    <t>TX0986</t>
  </si>
  <si>
    <t>TX0987</t>
  </si>
  <si>
    <t>TX0988</t>
  </si>
  <si>
    <t>TX0989</t>
  </si>
  <si>
    <t>TX0990</t>
  </si>
  <si>
    <t>TX0991</t>
  </si>
  <si>
    <t>TX0992</t>
  </si>
  <si>
    <t>TX0993</t>
  </si>
  <si>
    <t>TX0994</t>
  </si>
  <si>
    <t>TX0995</t>
  </si>
  <si>
    <t>TX0996</t>
  </si>
  <si>
    <t>TX0997</t>
  </si>
  <si>
    <t>TX0998</t>
  </si>
  <si>
    <t>TX0999</t>
  </si>
  <si>
    <t>TX1000</t>
  </si>
  <si>
    <t>Grand Total</t>
  </si>
  <si>
    <t>Sum of Quantity</t>
  </si>
  <si>
    <t>Sum of Revenue2</t>
  </si>
  <si>
    <t>City Branch</t>
  </si>
  <si>
    <t>North Branch</t>
  </si>
  <si>
    <t>Main Branch</t>
  </si>
  <si>
    <t>Glucose Test</t>
  </si>
  <si>
    <t>HIV Screening</t>
  </si>
  <si>
    <t>Blood Grouping</t>
  </si>
  <si>
    <t>ESR</t>
  </si>
  <si>
    <t>Urinalysis</t>
  </si>
  <si>
    <t>Pregnancy Test</t>
  </si>
  <si>
    <t>Kidney Function Test</t>
  </si>
  <si>
    <t>Stool Culture</t>
  </si>
  <si>
    <t>Hepatitis B Test</t>
  </si>
  <si>
    <t>Malaria Test</t>
  </si>
  <si>
    <t>Count of Transaction ID</t>
  </si>
  <si>
    <t>Corporate</t>
  </si>
  <si>
    <t>Referral</t>
  </si>
  <si>
    <t>Walk-in</t>
  </si>
  <si>
    <t>Average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</si>
  <si>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</si>
  <si>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</si>
  <si>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</si>
  <si>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</si>
  <si>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</si>
  <si>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</si>
  <si>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</si>
  <si>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</si>
  <si>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</si>
  <si>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</si>
  <si>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</si>
  <si>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</si>
  <si>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Haematology</t>
  </si>
  <si>
    <t>Immunology</t>
  </si>
  <si>
    <t>Microbiology</t>
  </si>
  <si>
    <t>Clinical Chemistry</t>
  </si>
  <si>
    <t>Count of Days (Date)</t>
  </si>
  <si>
    <t>Count of Date</t>
  </si>
  <si>
    <t>Transaction ID</t>
  </si>
  <si>
    <t>Date</t>
  </si>
  <si>
    <t>Patient Type</t>
  </si>
  <si>
    <t>Branch</t>
  </si>
  <si>
    <t>Test Category</t>
  </si>
  <si>
    <t>Test Name</t>
  </si>
  <si>
    <t>Quantity</t>
  </si>
  <si>
    <t>Test Price</t>
  </si>
  <si>
    <t>Reagent Cost</t>
  </si>
  <si>
    <t>Revenue</t>
  </si>
  <si>
    <t>Payment  Method</t>
  </si>
  <si>
    <t>Transfer</t>
  </si>
  <si>
    <t>Cash</t>
  </si>
  <si>
    <t>Card</t>
  </si>
  <si>
    <t>Full Blood Count</t>
  </si>
  <si>
    <t>Liver Function Test</t>
  </si>
  <si>
    <t>Lipid Profile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</si>
</sst>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[$₦-46A]* #,##0_-;\-[$₦-46A]* #,##0_-;_-[$₦-46A]* &quot;-&quot;??_-;_-@_-"/>
    <numFmt numFmtId="177" formatCode="dd/mm/yyyy;@"/>
    <numFmt numFmtId="178" formatCode="_-[$₦-46A]* #,##0.00_-;\-[$₦-46A]* #,##0.00_-;_-[$₦-46A]* &quot;-&quot;??_-;_-@_-"/>
    <numFmt numFmtId="179" formatCode="0.0%"/>
    <numFmt numFmtId="180" formatCode="_ [$NGN]\ * #,##0.00_ ;_ [$NGN]\ * \-#,##0.00_ ;_ [$NGN]\ * &quot;-&quot;??_ ;_ @_ "/>
  </numFmts>
  <fonts count="22">
    <font>
      <sz val="11"/>
      <color theme="1"/>
      <name val="Tw Cen MT"/>
      <charset val="134"/>
      <scheme val="minor"/>
    </font>
    <font>
      <b/>
      <sz val="30"/>
      <color theme="0"/>
      <name val="Tw Cen MT"/>
      <charset val="134"/>
      <scheme val="minor"/>
    </font>
    <font>
      <sz val="12"/>
      <color theme="0"/>
      <name val="Tw Cen MT"/>
      <charset val="134"/>
      <scheme val="minor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2" applyNumberFormat="1" applyFont="1"/>
    <xf numFmtId="176" fontId="0" fillId="0" borderId="0" xfId="2" applyNumberFormat="1" applyFont="1"/>
    <xf numFmtId="178" fontId="0" fillId="0" borderId="0" xfId="0" applyNumberFormat="1"/>
    <xf numFmtId="0" fontId="0" fillId="0" borderId="0" xfId="0" applyAlignment="1">
      <alignment horizontal="left"/>
    </xf>
    <xf numFmtId="179" fontId="0" fillId="0" borderId="0" xfId="0" applyNumberFormat="1"/>
    <xf numFmtId="180" fontId="0" fillId="0" borderId="0" xfId="2" applyNumberFormat="1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176" formatCode="_-[$₦-46A]* #,##0_-;\-[$₦-46A]* #,##0_-;_-[$₦-46A]* &quot;-&quot;??_-;_-@_-"/>
    </dxf>
    <dxf>
      <numFmt numFmtId="176" formatCode="_-[$₦-46A]* #,##0_-;\-[$₦-46A]* #,##0_-;_-[$₦-46A]* &quot;-&quot;??_-;_-@_-"/>
    </dxf>
    <dxf>
      <numFmt numFmtId="10" formatCode="0.00%"/>
    </dxf>
    <dxf>
      <numFmt numFmtId="179" formatCode="0.0%"/>
    </dxf>
    <dxf>
      <numFmt numFmtId="176" formatCode="_-[$₦-46A]* #,##0_-;\-[$₦-46A]* #,##0_-;_-[$₦-46A]* &quot;-&quot;??_-;_-@_-"/>
    </dxf>
    <dxf>
      <numFmt numFmtId="176" formatCode="_-[$₦-46A]* #,##0_-;\-[$₦-46A]* #,##0_-;_-[$₦-46A]* &quot;-&quot;??_-;_-@_-"/>
    </dxf>
    <dxf>
      <numFmt numFmtId="177" formatCode="dd/mm/yyyy;@"/>
    </dxf>
    <dxf>
      <font>
        <name val="Tw Cen MT"/>
        <scheme val="none"/>
        <family val="2"/>
        <b val="0"/>
        <i val="0"/>
        <strike val="0"/>
        <u val="none"/>
        <sz val="11"/>
        <color theme="1"/>
      </font>
      <numFmt numFmtId="176" formatCode="_-[$₦-46A]* #,##0_-;\-[$₦-46A]* #,##0_-;_-[$₦-46A]* &quot;-&quot;??_-;_-@_-"/>
    </dxf>
    <dxf>
      <font>
        <name val="Tw Cen MT"/>
        <scheme val="none"/>
        <family val="2"/>
        <b val="0"/>
        <i val="0"/>
        <strike val="0"/>
        <u val="none"/>
        <sz val="11"/>
        <color theme="1"/>
      </font>
      <numFmt numFmtId="176" formatCode="_-[$₦-46A]* #,##0_-;\-[$₦-46A]* #,##0_-;_-[$₦-46A]* &quot;-&quot;??_-;_-@_-"/>
    </dxf>
    <dxf>
      <font>
        <name val="Tw Cen MT"/>
        <scheme val="none"/>
        <family val="2"/>
        <b val="0"/>
        <i val="0"/>
        <strike val="0"/>
        <u val="none"/>
        <sz val="11"/>
        <color theme="1"/>
      </font>
      <numFmt numFmtId="176" formatCode="_-[$₦-46A]* #,##0_-;\-[$₦-46A]* #,##0_-;_-[$₦-46A]* &quot;-&quot;??_-;_-@_-"/>
    </dxf>
  </dxfs>
  <tableStyles count="0" defaultTableStyle="TableStyleMedium2" defaultPivotStyle="PivotStyleLight16"/>
  <colors>
    <mruColors>
      <color rgb="00666666"/>
      <color rgb="00808080"/>
      <color rgb="00D4AF37"/>
      <color rgb="001F4E79"/>
      <color rgb="00E6C65F"/>
      <color rgb="005B9BD5"/>
      <color rgb="0000A6A6"/>
      <color rgb="00FFCD2F"/>
      <color rgb="00E2AC00"/>
      <color rgb="00C898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microsoft.com/office/2007/relationships/slicerCache" Target="slicerCaches/slicerCache5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[Laboratory_Revenue_Operations_Dashboard.xlsx]Revenue by timeline!PivotTable28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Monthly Revenue Trend</a:t>
            </a:r>
            <a:endParaRPr lang="en-US" b="1">
              <a:solidFill>
                <a:srgbClr val="0070C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by timeline'!$B$3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&quot;₦&quot;0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timeline'!$A$4:$A$16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timeline'!$B$4:$B$16</c:f>
              <c:numCache>
                <c:formatCode>_-[$₦-46A]* #,##0_-;\-[$₦-46A]* #,##0_-;_-[$₦-46A]* "-"??_-;_-@_-</c:formatCode>
                <c:ptCount val="12"/>
                <c:pt idx="0">
                  <c:v>359000</c:v>
                </c:pt>
                <c:pt idx="1">
                  <c:v>455000</c:v>
                </c:pt>
                <c:pt idx="2">
                  <c:v>486500</c:v>
                </c:pt>
                <c:pt idx="3">
                  <c:v>530000</c:v>
                </c:pt>
                <c:pt idx="4">
                  <c:v>550000</c:v>
                </c:pt>
                <c:pt idx="5">
                  <c:v>425500</c:v>
                </c:pt>
                <c:pt idx="6">
                  <c:v>456000</c:v>
                </c:pt>
                <c:pt idx="7">
                  <c:v>461000</c:v>
                </c:pt>
                <c:pt idx="8">
                  <c:v>459000</c:v>
                </c:pt>
                <c:pt idx="9">
                  <c:v>513500</c:v>
                </c:pt>
                <c:pt idx="10">
                  <c:v>382000</c:v>
                </c:pt>
                <c:pt idx="11">
                  <c:v>526500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4810496"/>
        <c:axId val="554808336"/>
      </c:lineChart>
      <c:catAx>
        <c:axId val="55481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808336"/>
        <c:crosses val="autoZero"/>
        <c:auto val="1"/>
        <c:lblAlgn val="ctr"/>
        <c:lblOffset val="100"/>
        <c:noMultiLvlLbl val="0"/>
      </c:catAx>
      <c:valAx>
        <c:axId val="5548083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A]* #,##0_-;\-[$₦-46A]* #,##0_-;_-[$₦-46A]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81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096042-fc38-413a-8f67-b2e1697fcc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[Laboratory_Revenue_Operations_Dashboard.xlsx]Highest revenue generating test!PivotTable28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Top</a:t>
            </a:r>
            <a:r>
              <a:rPr lang="en-US" b="1" baseline="0">
                <a:solidFill>
                  <a:srgbClr val="0070C0"/>
                </a:solidFill>
              </a:rPr>
              <a:t> 10  Requested Tests</a:t>
            </a:r>
            <a:endParaRPr lang="en-US" b="1">
              <a:solidFill>
                <a:srgbClr val="0070C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1832519570629"/>
          <c:y val="0.125298080139118"/>
          <c:w val="0.799711249757061"/>
          <c:h val="0.8384042959888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'Highest revenue generating test'!$B$3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'Highest revenue generating test'!$A$4:$A$14</c:f>
              <c:strCache>
                <c:ptCount val="10"/>
                <c:pt idx="0">
                  <c:v>Glucose Test</c:v>
                </c:pt>
                <c:pt idx="1">
                  <c:v>HIV Screening</c:v>
                </c:pt>
                <c:pt idx="2">
                  <c:v>Blood Grouping</c:v>
                </c:pt>
                <c:pt idx="3">
                  <c:v>ESR</c:v>
                </c:pt>
                <c:pt idx="4">
                  <c:v>Urinalysis</c:v>
                </c:pt>
                <c:pt idx="5">
                  <c:v>Pregnancy Test</c:v>
                </c:pt>
                <c:pt idx="6">
                  <c:v>Kidney Function Test</c:v>
                </c:pt>
                <c:pt idx="7">
                  <c:v>Stool Culture</c:v>
                </c:pt>
                <c:pt idx="8">
                  <c:v>Hepatitis B Test</c:v>
                </c:pt>
                <c:pt idx="9">
                  <c:v>Malaria Test</c:v>
                </c:pt>
              </c:strCache>
            </c:strRef>
          </c:cat>
          <c:val>
            <c:numRef>
              <c:f>'Highest revenue generating test'!$B$4:$B$14</c:f>
              <c:numCache>
                <c:formatCode>General</c:formatCode>
                <c:ptCount val="10"/>
                <c:pt idx="0">
                  <c:v>92</c:v>
                </c:pt>
                <c:pt idx="1">
                  <c:v>93</c:v>
                </c:pt>
                <c:pt idx="2">
                  <c:v>94</c:v>
                </c:pt>
                <c:pt idx="3">
                  <c:v>97</c:v>
                </c:pt>
                <c:pt idx="4">
                  <c:v>98</c:v>
                </c:pt>
                <c:pt idx="5">
                  <c:v>101</c:v>
                </c:pt>
                <c:pt idx="6">
                  <c:v>105</c:v>
                </c:pt>
                <c:pt idx="7">
                  <c:v>106</c:v>
                </c:pt>
                <c:pt idx="8">
                  <c:v>107</c:v>
                </c:pt>
                <c:pt idx="9">
                  <c:v>113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8523824"/>
        <c:axId val="798523464"/>
      </c:barChart>
      <c:catAx>
        <c:axId val="798523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r>
                  <a:rPr lang="en-GB" sz="900" b="1">
                    <a:solidFill>
                      <a:schemeClr val="accent2">
                        <a:lumMod val="75000"/>
                      </a:schemeClr>
                    </a:solidFill>
                    <a:latin typeface="Century Gothic" panose="020B0502020202020204" pitchFamily="34" charset="0"/>
                  </a:rPr>
                  <a:t>Number of Requests</a:t>
                </a:r>
                <a:endParaRPr lang="en-GB" sz="900" b="1">
                  <a:solidFill>
                    <a:schemeClr val="accent2">
                      <a:lumMod val="75000"/>
                    </a:schemeClr>
                  </a:solidFill>
                  <a:latin typeface="Century Gothic" panose="020B0502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6249246448086"/>
              <c:y val="0.2587971021719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523464"/>
        <c:crosses val="autoZero"/>
        <c:auto val="1"/>
        <c:lblAlgn val="ctr"/>
        <c:lblOffset val="100"/>
        <c:noMultiLvlLbl val="0"/>
      </c:catAx>
      <c:valAx>
        <c:axId val="79852346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52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e145fb-04f3-4e34-be18-207669ed3b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[Laboratory_Revenue_Operations_Dashboard.xlsx]Revenue generated by branch!PivotTable28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Branch Revenue Share</a:t>
            </a:r>
            <a:endParaRPr lang="en-US" b="1">
              <a:solidFill>
                <a:srgbClr val="0070C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generated by branch'!$B$3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generated by branch'!$A$4:$A$7</c:f>
              <c:strCache>
                <c:ptCount val="3"/>
                <c:pt idx="0">
                  <c:v>City Branch</c:v>
                </c:pt>
                <c:pt idx="1">
                  <c:v>North Branch</c:v>
                </c:pt>
                <c:pt idx="2">
                  <c:v>Main Branch</c:v>
                </c:pt>
              </c:strCache>
            </c:strRef>
          </c:cat>
          <c:val>
            <c:numRef>
              <c:f>'Revenue generated by branch'!$B$4:$B$7</c:f>
              <c:numCache>
                <c:formatCode>0.0%</c:formatCode>
                <c:ptCount val="3"/>
                <c:pt idx="0">
                  <c:v>0.355995717344754</c:v>
                </c:pt>
                <c:pt idx="1">
                  <c:v>0.331727337615989</c:v>
                </c:pt>
                <c:pt idx="2">
                  <c:v>0.312276945039258</c:v>
                </c:pt>
              </c:numCache>
            </c:numRef>
          </c:val>
        </c:ser>
        <c:ser>
          <c:idx val="1"/>
          <c:order val="1"/>
          <c:tx>
            <c:strRef>
              <c:f>'Revenue generated by branch'!$C$3</c:f>
              <c:strCache>
                <c:ptCount val="1"/>
                <c:pt idx="0">
                  <c:v>Sum of Revenue2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₦&quot;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generated by branch'!$A$4:$A$7</c:f>
              <c:strCache>
                <c:ptCount val="3"/>
                <c:pt idx="0">
                  <c:v>City Branch</c:v>
                </c:pt>
                <c:pt idx="1">
                  <c:v>North Branch</c:v>
                </c:pt>
                <c:pt idx="2">
                  <c:v>Main Branch</c:v>
                </c:pt>
              </c:strCache>
            </c:strRef>
          </c:cat>
          <c:val>
            <c:numRef>
              <c:f>'Revenue generated by branch'!$C$4:$C$7</c:f>
              <c:numCache>
                <c:formatCode>_-[$₦-46A]* #,##0_-;\-[$₦-46A]* #,##0_-;_-[$₦-46A]* "-"??_-;_-@_-</c:formatCode>
                <c:ptCount val="3"/>
                <c:pt idx="0">
                  <c:v>1995000</c:v>
                </c:pt>
                <c:pt idx="1">
                  <c:v>1859000</c:v>
                </c:pt>
                <c:pt idx="2">
                  <c:v>1750000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2175608"/>
        <c:axId val="556971248"/>
      </c:barChart>
      <c:catAx>
        <c:axId val="59217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971248"/>
        <c:crosses val="autoZero"/>
        <c:auto val="1"/>
        <c:lblAlgn val="ctr"/>
        <c:lblOffset val="100"/>
        <c:noMultiLvlLbl val="0"/>
      </c:catAx>
      <c:valAx>
        <c:axId val="556971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2175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42b7f7-cc53-48a3-bd7e-8e84739e84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[Laboratory_Revenue_Operations_Dashboard.xlsx]Revenue generated by department!PivotTable28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Revenue by Laboratory Department</a:t>
            </a:r>
            <a:endParaRPr lang="en-US" b="1">
              <a:solidFill>
                <a:srgbClr val="0070C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generated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₦&quot;0.0,,\ &quot;M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'Revenue generated by department'!$A$4:$A$8</c:f>
              <c:strCache>
                <c:ptCount val="4"/>
                <c:pt idx="0">
                  <c:v>Haematology</c:v>
                </c:pt>
                <c:pt idx="1">
                  <c:v>Immunology</c:v>
                </c:pt>
                <c:pt idx="2">
                  <c:v>Microbiology</c:v>
                </c:pt>
                <c:pt idx="3">
                  <c:v>Clinical Chemistry</c:v>
                </c:pt>
              </c:strCache>
            </c:strRef>
          </c:cat>
          <c:val>
            <c:numRef>
              <c:f>'Revenue generated by department'!$B$4:$B$8</c:f>
              <c:numCache>
                <c:formatCode>_-[$₦-46A]* #,##0_-;\-[$₦-46A]* #,##0_-;_-[$₦-46A]* "-"??_-;_-@_-</c:formatCode>
                <c:ptCount val="4"/>
                <c:pt idx="0">
                  <c:v>924500</c:v>
                </c:pt>
                <c:pt idx="1">
                  <c:v>1210000</c:v>
                </c:pt>
                <c:pt idx="2">
                  <c:v>1220000</c:v>
                </c:pt>
                <c:pt idx="3">
                  <c:v>2249500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92175608"/>
        <c:axId val="556971248"/>
      </c:barChart>
      <c:catAx>
        <c:axId val="592175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971248"/>
        <c:crosses val="autoZero"/>
        <c:auto val="1"/>
        <c:lblAlgn val="ctr"/>
        <c:lblOffset val="100"/>
        <c:noMultiLvlLbl val="0"/>
      </c:catAx>
      <c:valAx>
        <c:axId val="55697124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-[$₦-46A]* #,##0_-;\-[$₦-46A]* #,##0_-;_-[$₦-46A]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9217560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8ab9aef-c4da-45da-bd29-fc3abc81d7e5}"/>
      </c:ext>
    </c:extLst>
  </c:chart>
  <c:spPr>
    <a:ln w="9525" cap="flat" cmpd="sng" algn="ctr">
      <a:solidFill>
        <a:schemeClr val="bg1">
          <a:lumMod val="85000"/>
        </a:schemeClr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[Laboratory_Revenue_Operations_Dashboard.xlsx]Patient distribution!PivotTable28</c:name>
    <c:fmtId val="19"/>
  </c:pivotSource>
  <c:chart>
    <c:autoTitleDeleted val="1"/>
    <c:plotArea>
      <c:layout>
        <c:manualLayout>
          <c:layoutTarget val="inner"/>
          <c:xMode val="edge"/>
          <c:yMode val="edge"/>
          <c:x val="0.0438716790446755"/>
          <c:y val="0.0210788591656689"/>
          <c:w val="0.904296753804757"/>
          <c:h val="0.957842281668662"/>
        </c:manualLayout>
      </c:layout>
      <c:doughnutChart>
        <c:varyColors val="1"/>
        <c:ser>
          <c:idx val="0"/>
          <c:order val="0"/>
          <c:tx>
            <c:strRef>
              <c:f>'Patient distribution'!$B$3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1F4E79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5B9BD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rgbClr val="00A6A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dLbl>
              <c:idx val="0"/>
              <c:layout>
                <c:manualLayout>
                  <c:x val="-0.0159202463024237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fld id="{ed64af0c-92b0-44a6-9186-9936c2c8e7c0}" type="CATEGORYNAME">
                      <a:t>[CATEGORY NAME]</a:t>
                    </a:fld>
                    <a:r>
                      <a:t>,</a:t>
                    </a:r>
                    <a:fld id="{6384c770-3f42-4153-af30-9cd349d73a32}" type="VALUE">
                      <a:t>[VALUE]</a:t>
                    </a:fld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462770388301"/>
                      <c:h val="0.26460308508191"/>
                    </c:manualLayout>
                  </c15:layout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4d336cfb-e487-400a-acdb-97a8e6c970d0}" type="CATEGORYNAME">
                      <a:t>[CATEGORY NAME]</a:t>
                    </a:fld>
                    <a:r>
                      <a:t>,</a:t>
                    </a:r>
                    <a:fld id="{6fafc46c-3002-4534-976a-08506ae3712f}" type="VALUE">
                      <a:t>[VALUE]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f1dd10cf-919d-4318-92fc-c928ab560a5c}" type="CATEGORYNAME">
                      <a:t>[CATEGORY NAME]</a:t>
                    </a:fld>
                    <a:r>
                      <a:t>,</a:t>
                    </a:r>
                    <a:fld id="{df2c6c14-7445-4284-8bfc-efb072385f53}" type="VALUE">
                      <a:t>[VALUE]</a:t>
                    </a:fld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'Patient distribution'!$A$4:$A$7</c:f>
              <c:strCache>
                <c:ptCount val="3"/>
                <c:pt idx="0">
                  <c:v>Corporate</c:v>
                </c:pt>
                <c:pt idx="1">
                  <c:v>Referral</c:v>
                </c:pt>
                <c:pt idx="2">
                  <c:v>Walk-in</c:v>
                </c:pt>
              </c:strCache>
            </c:strRef>
          </c:cat>
          <c:val>
            <c:numRef>
              <c:f>'Patient distribution'!$B$4:$B$7</c:f>
              <c:numCache>
                <c:formatCode>General</c:formatCode>
                <c:ptCount val="3"/>
                <c:pt idx="0">
                  <c:v>334</c:v>
                </c:pt>
                <c:pt idx="1">
                  <c:v>329</c:v>
                </c:pt>
                <c:pt idx="2">
                  <c:v>337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209786-0430-4fc7-bbbf-98d09eb4ea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[Laboratory_Revenue_Operations_Dashboard.xlsx]Revenue generated by branch!PivotTable28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Branch Revenue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generated by branch'!$B$3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1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generated by branch'!$A$4:$A$7</c:f>
              <c:strCache>
                <c:ptCount val="3"/>
                <c:pt idx="0">
                  <c:v>City Branch</c:v>
                </c:pt>
                <c:pt idx="1">
                  <c:v>North Branch</c:v>
                </c:pt>
                <c:pt idx="2">
                  <c:v>Main Branch</c:v>
                </c:pt>
              </c:strCache>
            </c:strRef>
          </c:cat>
          <c:val>
            <c:numRef>
              <c:f>'Revenue generated by branch'!$B$4:$B$7</c:f>
              <c:numCache>
                <c:formatCode>0.0%</c:formatCode>
                <c:ptCount val="3"/>
                <c:pt idx="0">
                  <c:v>0.355995717344754</c:v>
                </c:pt>
                <c:pt idx="1">
                  <c:v>0.331727337615989</c:v>
                </c:pt>
                <c:pt idx="2">
                  <c:v>0.312276945039258</c:v>
                </c:pt>
              </c:numCache>
            </c:numRef>
          </c:val>
        </c:ser>
        <c:ser>
          <c:idx val="1"/>
          <c:order val="1"/>
          <c:tx>
            <c:strRef>
              <c:f>'Revenue generated by branch'!$C$3</c:f>
              <c:strCache>
                <c:ptCount val="1"/>
                <c:pt idx="0">
                  <c:v>Sum of Revenue2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2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>
              <a:noFill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generated by branch'!$A$4:$A$7</c:f>
              <c:strCache>
                <c:ptCount val="3"/>
                <c:pt idx="0">
                  <c:v>City Branch</c:v>
                </c:pt>
                <c:pt idx="1">
                  <c:v>North Branch</c:v>
                </c:pt>
                <c:pt idx="2">
                  <c:v>Main Branch</c:v>
                </c:pt>
              </c:strCache>
            </c:strRef>
          </c:cat>
          <c:val>
            <c:numRef>
              <c:f>'Revenue generated by branch'!$C$4:$C$7</c:f>
              <c:numCache>
                <c:formatCode>_-[$₦-46A]* #,##0_-;\-[$₦-46A]* #,##0_-;_-[$₦-46A]* "-"??_-;_-@_-</c:formatCode>
                <c:ptCount val="3"/>
                <c:pt idx="0">
                  <c:v>1995000</c:v>
                </c:pt>
                <c:pt idx="1">
                  <c:v>1859000</c:v>
                </c:pt>
                <c:pt idx="2">
                  <c:v>1750000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92175608"/>
        <c:axId val="556971248"/>
      </c:barChart>
      <c:catAx>
        <c:axId val="59217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971248"/>
        <c:crosses val="autoZero"/>
        <c:auto val="1"/>
        <c:lblAlgn val="ctr"/>
        <c:lblOffset val="100"/>
        <c:noMultiLvlLbl val="0"/>
      </c:catAx>
      <c:valAx>
        <c:axId val="556971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2175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ac72f2-a460-414d-bf75-ee5573c05f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[Laboratory_Revenue_Operations_Dashboard.xlsx]Highest revenue generating test!PivotTable28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Ten Most Requested Tests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'Highest revenue generating test'!$B$3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'Highest revenue generating test'!$A$4:$A$14</c:f>
              <c:strCache>
                <c:ptCount val="10"/>
                <c:pt idx="0">
                  <c:v>Glucose Test</c:v>
                </c:pt>
                <c:pt idx="1">
                  <c:v>HIV Screening</c:v>
                </c:pt>
                <c:pt idx="2">
                  <c:v>Blood Grouping</c:v>
                </c:pt>
                <c:pt idx="3">
                  <c:v>ESR</c:v>
                </c:pt>
                <c:pt idx="4">
                  <c:v>Urinalysis</c:v>
                </c:pt>
                <c:pt idx="5">
                  <c:v>Pregnancy Test</c:v>
                </c:pt>
                <c:pt idx="6">
                  <c:v>Kidney Function Test</c:v>
                </c:pt>
                <c:pt idx="7">
                  <c:v>Stool Culture</c:v>
                </c:pt>
                <c:pt idx="8">
                  <c:v>Hepatitis B Test</c:v>
                </c:pt>
                <c:pt idx="9">
                  <c:v>Malaria Test</c:v>
                </c:pt>
              </c:strCache>
            </c:strRef>
          </c:cat>
          <c:val>
            <c:numRef>
              <c:f>'Highest revenue generating test'!$B$4:$B$14</c:f>
              <c:numCache>
                <c:formatCode>General</c:formatCode>
                <c:ptCount val="10"/>
                <c:pt idx="0">
                  <c:v>92</c:v>
                </c:pt>
                <c:pt idx="1">
                  <c:v>93</c:v>
                </c:pt>
                <c:pt idx="2">
                  <c:v>94</c:v>
                </c:pt>
                <c:pt idx="3">
                  <c:v>97</c:v>
                </c:pt>
                <c:pt idx="4">
                  <c:v>98</c:v>
                </c:pt>
                <c:pt idx="5">
                  <c:v>101</c:v>
                </c:pt>
                <c:pt idx="6">
                  <c:v>105</c:v>
                </c:pt>
                <c:pt idx="7">
                  <c:v>106</c:v>
                </c:pt>
                <c:pt idx="8">
                  <c:v>107</c:v>
                </c:pt>
                <c:pt idx="9">
                  <c:v>113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8523824"/>
        <c:axId val="798523464"/>
      </c:barChart>
      <c:catAx>
        <c:axId val="79852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523464"/>
        <c:crosses val="autoZero"/>
        <c:auto val="1"/>
        <c:lblAlgn val="ctr"/>
        <c:lblOffset val="100"/>
        <c:noMultiLvlLbl val="0"/>
      </c:catAx>
      <c:valAx>
        <c:axId val="798523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52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9e9b5d-e690-4da4-b3b8-8d0f72e460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[Laboratory_Revenue_Operations_Dashboard.xlsx]Patient distribution!PivotTable28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Patients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'Patient distribution'!$B$3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'Patient distribution'!$A$4:$A$7</c:f>
              <c:strCache>
                <c:ptCount val="3"/>
                <c:pt idx="0">
                  <c:v>Corporate</c:v>
                </c:pt>
                <c:pt idx="1">
                  <c:v>Referral</c:v>
                </c:pt>
                <c:pt idx="2">
                  <c:v>Walk-in</c:v>
                </c:pt>
              </c:strCache>
            </c:strRef>
          </c:cat>
          <c:val>
            <c:numRef>
              <c:f>'Patient distribution'!$B$4:$B$7</c:f>
              <c:numCache>
                <c:formatCode>General</c:formatCode>
                <c:ptCount val="3"/>
                <c:pt idx="0">
                  <c:v>334</c:v>
                </c:pt>
                <c:pt idx="1">
                  <c:v>329</c:v>
                </c:pt>
                <c:pt idx="2">
                  <c:v>337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113e50-ba9f-4384-97c8-affbad6a03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[Laboratory_Revenue_Operations_Dashboard.xlsx]Revenue by timeline!PivotTable28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by timeline'!$B$3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'Revenue by timeline'!$A$4:$A$16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by timeline'!$B$4:$B$16</c:f>
              <c:numCache>
                <c:formatCode>_-[$₦-46A]* #,##0_-;\-[$₦-46A]* #,##0_-;_-[$₦-46A]* "-"??_-;_-@_-</c:formatCode>
                <c:ptCount val="12"/>
                <c:pt idx="0">
                  <c:v>359000</c:v>
                </c:pt>
                <c:pt idx="1">
                  <c:v>455000</c:v>
                </c:pt>
                <c:pt idx="2">
                  <c:v>486500</c:v>
                </c:pt>
                <c:pt idx="3">
                  <c:v>530000</c:v>
                </c:pt>
                <c:pt idx="4">
                  <c:v>550000</c:v>
                </c:pt>
                <c:pt idx="5">
                  <c:v>425500</c:v>
                </c:pt>
                <c:pt idx="6">
                  <c:v>456000</c:v>
                </c:pt>
                <c:pt idx="7">
                  <c:v>461000</c:v>
                </c:pt>
                <c:pt idx="8">
                  <c:v>459000</c:v>
                </c:pt>
                <c:pt idx="9">
                  <c:v>513500</c:v>
                </c:pt>
                <c:pt idx="10">
                  <c:v>382000</c:v>
                </c:pt>
                <c:pt idx="11">
                  <c:v>526500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4810496"/>
        <c:axId val="554808336"/>
      </c:lineChart>
      <c:catAx>
        <c:axId val="55481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808336"/>
        <c:crosses val="autoZero"/>
        <c:auto val="1"/>
        <c:lblAlgn val="ctr"/>
        <c:lblOffset val="100"/>
        <c:noMultiLvlLbl val="0"/>
      </c:catAx>
      <c:valAx>
        <c:axId val="55480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A]* #,##0_-;\-[$₦-46A]* #,##0_-;_-[$₦-46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481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3ef3271-d5ab-4df5-b35c-e6daa2b901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[Laboratory_Revenue_Operations_Dashboard.xlsx]Revenue generated by department!PivotTable28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Departmental</a:t>
            </a:r>
            <a:r>
              <a:rPr lang="en-US" baseline="0"/>
              <a:t> Revenue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generated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'Revenue generated by department'!$A$4:$A$8</c:f>
              <c:strCache>
                <c:ptCount val="4"/>
                <c:pt idx="0">
                  <c:v>Haematology</c:v>
                </c:pt>
                <c:pt idx="1">
                  <c:v>Immunology</c:v>
                </c:pt>
                <c:pt idx="2">
                  <c:v>Microbiology</c:v>
                </c:pt>
                <c:pt idx="3">
                  <c:v>Clinical Chemistry</c:v>
                </c:pt>
              </c:strCache>
            </c:strRef>
          </c:cat>
          <c:val>
            <c:numRef>
              <c:f>'Revenue generated by department'!$B$4:$B$8</c:f>
              <c:numCache>
                <c:formatCode>_-[$₦-46A]* #,##0_-;\-[$₦-46A]* #,##0_-;_-[$₦-46A]* "-"??_-;_-@_-</c:formatCode>
                <c:ptCount val="4"/>
                <c:pt idx="0">
                  <c:v>924500</c:v>
                </c:pt>
                <c:pt idx="1">
                  <c:v>1210000</c:v>
                </c:pt>
                <c:pt idx="2">
                  <c:v>1220000</c:v>
                </c:pt>
                <c:pt idx="3">
                  <c:v>2249500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818280"/>
        <c:axId val="565815400"/>
      </c:barChart>
      <c:catAx>
        <c:axId val="565818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5815400"/>
        <c:crosses val="autoZero"/>
        <c:auto val="1"/>
        <c:lblAlgn val="ctr"/>
        <c:lblOffset val="100"/>
        <c:noMultiLvlLbl val="0"/>
      </c:catAx>
      <c:valAx>
        <c:axId val="56581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A]* #,##0_-;\-[$₦-46A]* #,##0_-;_-[$₦-46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581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3781d7-a052-445b-8a3e-f1e2f79592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250031</xdr:colOff>
      <xdr:row>3</xdr:row>
      <xdr:rowOff>443616</xdr:rowOff>
    </xdr:from>
    <xdr:to>
      <xdr:col>4</xdr:col>
      <xdr:colOff>346364</xdr:colOff>
      <xdr:row>40</xdr:row>
      <xdr:rowOff>74607</xdr:rowOff>
    </xdr:to>
    <xdr:grpSp>
      <xdr:nvGrpSpPr>
        <xdr:cNvPr id="36" name="Group 35"/>
        <xdr:cNvGrpSpPr/>
      </xdr:nvGrpSpPr>
      <xdr:grpSpPr>
        <a:xfrm>
          <a:off x="249555" y="1348105"/>
          <a:ext cx="2392045" cy="7012940"/>
          <a:chOff x="250031" y="1274401"/>
          <a:chExt cx="2399651" cy="6397554"/>
        </a:xfrm>
      </xdr:grpSpPr>
      <xdr:sp>
        <xdr:nvSpPr>
          <xdr:cNvPr id="17" name="Rectangle 16"/>
          <xdr:cNvSpPr/>
        </xdr:nvSpPr>
        <xdr:spPr>
          <a:xfrm>
            <a:off x="250031" y="1274401"/>
            <a:ext cx="2399651" cy="639755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>
        <xdr:nvSpPr>
          <xdr:cNvPr id="19" name="TextBox 18"/>
          <xdr:cNvSpPr txBox="1"/>
        </xdr:nvSpPr>
        <xdr:spPr>
          <a:xfrm>
            <a:off x="281203" y="1274401"/>
            <a:ext cx="2354624" cy="3015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GB" sz="1600" b="1">
                <a:solidFill>
                  <a:srgbClr val="002060"/>
                </a:solidFill>
                <a:latin typeface="Corbel" panose="020B0503020204020204" pitchFamily="34" charset="0"/>
              </a:rPr>
              <a:t>FILTER</a:t>
            </a:r>
            <a:r>
              <a:rPr lang="en-GB" sz="1600" b="1" baseline="0">
                <a:solidFill>
                  <a:srgbClr val="002060"/>
                </a:solidFill>
                <a:latin typeface="Corbel" panose="020B0503020204020204" pitchFamily="34" charset="0"/>
              </a:rPr>
              <a:t> PANEL</a:t>
            </a:r>
            <a:endParaRPr lang="en-GB" sz="1600" b="1">
              <a:solidFill>
                <a:srgbClr val="002060"/>
              </a:solidFill>
              <a:latin typeface="Corbel" panose="020B0503020204020204" pitchFamily="34" charset="0"/>
            </a:endParaRPr>
          </a:p>
        </xdr:txBody>
      </xdr:sp>
    </xdr:grpSp>
    <xdr:clientData/>
  </xdr:twoCellAnchor>
  <xdr:twoCellAnchor>
    <xdr:from>
      <xdr:col>1</xdr:col>
      <xdr:colOff>49358</xdr:colOff>
      <xdr:row>1</xdr:row>
      <xdr:rowOff>27463</xdr:rowOff>
    </xdr:from>
    <xdr:to>
      <xdr:col>1</xdr:col>
      <xdr:colOff>597085</xdr:colOff>
      <xdr:row>1</xdr:row>
      <xdr:rowOff>533400</xdr:rowOff>
    </xdr:to>
    <xdr:grpSp>
      <xdr:nvGrpSpPr>
        <xdr:cNvPr id="2" name="Group 1"/>
        <xdr:cNvGrpSpPr/>
      </xdr:nvGrpSpPr>
      <xdr:grpSpPr>
        <a:xfrm>
          <a:off x="315595" y="179705"/>
          <a:ext cx="548005" cy="506095"/>
          <a:chOff x="1305356" y="217815"/>
          <a:chExt cx="602533" cy="637610"/>
        </a:xfrm>
      </xdr:grpSpPr>
      <xdr:sp>
        <xdr:nvSpPr>
          <xdr:cNvPr id="3" name="Oval 2"/>
          <xdr:cNvSpPr/>
        </xdr:nvSpPr>
        <xdr:spPr>
          <a:xfrm>
            <a:off x="1314451" y="219075"/>
            <a:ext cx="590012" cy="619125"/>
          </a:xfrm>
          <a:prstGeom prst="ellipse">
            <a:avLst/>
          </a:prstGeom>
          <a:solidFill>
            <a:sysClr val="window" lastClr="FFFFFF"/>
          </a:solidFill>
          <a:ln w="57150"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pic>
        <xdr:nvPicPr>
          <xdr:cNvPr id="4" name="Picture 3"/>
          <xdr:cNvPicPr>
            <a:picLocks noChangeAspect="1" noChangeArrowheads="1"/>
          </xdr:cNvPicPr>
        </xdr:nvPicPr>
        <xdr:blipFill>
          <a:blip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305356" y="217815"/>
            <a:ext cx="602533" cy="6376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19</xdr:col>
      <xdr:colOff>514910</xdr:colOff>
      <xdr:row>3</xdr:row>
      <xdr:rowOff>1733</xdr:rowOff>
    </xdr:from>
    <xdr:to>
      <xdr:col>23</xdr:col>
      <xdr:colOff>9860</xdr:colOff>
      <xdr:row>4</xdr:row>
      <xdr:rowOff>115433</xdr:rowOff>
    </xdr:to>
    <xdr:sp>
      <xdr:nvSpPr>
        <xdr:cNvPr id="5" name="TextBox 4"/>
        <xdr:cNvSpPr txBox="1"/>
      </xdr:nvSpPr>
      <xdr:spPr>
        <a:xfrm>
          <a:off x="10868025" y="906145"/>
          <a:ext cx="1781175" cy="9804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latin typeface="Corbel" panose="020B0503020204020204" pitchFamily="34" charset="0"/>
            </a:rPr>
            <a:t>Average Tests/Month</a:t>
          </a:r>
          <a:endParaRPr lang="en-GB" sz="1400" b="1" baseline="0">
            <a:latin typeface="Corbel" panose="020B0503020204020204" pitchFamily="34" charset="0"/>
          </a:endParaRPr>
        </a:p>
        <a:p>
          <a:pPr algn="ctr"/>
          <a:r>
            <a:rPr lang="en-GB" sz="1800" b="1" baseline="0">
              <a:latin typeface="Corbel" panose="020B0503020204020204" pitchFamily="34" charset="0"/>
            </a:rPr>
            <a:t>104</a:t>
          </a:r>
          <a:endParaRPr lang="en-GB" sz="1800" b="1">
            <a:latin typeface="Corbel" panose="020B0503020204020204" pitchFamily="34" charset="0"/>
          </a:endParaRPr>
        </a:p>
      </xdr:txBody>
    </xdr:sp>
    <xdr:clientData/>
  </xdr:twoCellAnchor>
  <xdr:twoCellAnchor>
    <xdr:from>
      <xdr:col>8</xdr:col>
      <xdr:colOff>224486</xdr:colOff>
      <xdr:row>3</xdr:row>
      <xdr:rowOff>1734</xdr:rowOff>
    </xdr:from>
    <xdr:to>
      <xdr:col>12</xdr:col>
      <xdr:colOff>119486</xdr:colOff>
      <xdr:row>4</xdr:row>
      <xdr:rowOff>115434</xdr:rowOff>
    </xdr:to>
    <xdr:sp>
      <xdr:nvSpPr>
        <xdr:cNvPr id="6" name="TextBox 5"/>
        <xdr:cNvSpPr txBox="1"/>
      </xdr:nvSpPr>
      <xdr:spPr>
        <a:xfrm>
          <a:off x="4786630" y="906145"/>
          <a:ext cx="1790700" cy="9804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latin typeface="Corbel" panose="020B0503020204020204" pitchFamily="34" charset="0"/>
            </a:rPr>
            <a:t>Total Tests Performed</a:t>
          </a:r>
          <a:endParaRPr lang="en-GB" sz="1400" b="1">
            <a:latin typeface="Corbel" panose="020B0503020204020204" pitchFamily="34" charset="0"/>
          </a:endParaRPr>
        </a:p>
        <a:p>
          <a:pPr algn="ctr"/>
          <a:r>
            <a:rPr lang="en-GB" sz="1800" b="1">
              <a:latin typeface="Corbel" panose="020B0503020204020204" pitchFamily="34" charset="0"/>
            </a:rPr>
            <a:t>1250</a:t>
          </a:r>
          <a:endParaRPr lang="en-GB" sz="1800" b="1">
            <a:latin typeface="Corbel" panose="020B0503020204020204" pitchFamily="34" charset="0"/>
          </a:endParaRPr>
        </a:p>
      </xdr:txBody>
    </xdr:sp>
    <xdr:clientData/>
  </xdr:twoCellAnchor>
  <xdr:twoCellAnchor>
    <xdr:from>
      <xdr:col>4</xdr:col>
      <xdr:colOff>447516</xdr:colOff>
      <xdr:row>3</xdr:row>
      <xdr:rowOff>7426</xdr:rowOff>
    </xdr:from>
    <xdr:to>
      <xdr:col>7</xdr:col>
      <xdr:colOff>609216</xdr:colOff>
      <xdr:row>4</xdr:row>
      <xdr:rowOff>121126</xdr:rowOff>
    </xdr:to>
    <xdr:sp>
      <xdr:nvSpPr>
        <xdr:cNvPr id="7" name="TextBox 6"/>
        <xdr:cNvSpPr txBox="1"/>
      </xdr:nvSpPr>
      <xdr:spPr>
        <a:xfrm>
          <a:off x="2742565" y="911860"/>
          <a:ext cx="1790700" cy="9804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chemeClr val="tx1"/>
              </a:solidFill>
              <a:latin typeface="Corbel" panose="020B0503020204020204" pitchFamily="34" charset="0"/>
            </a:rPr>
            <a:t>Total Revenue</a:t>
          </a:r>
          <a:endParaRPr lang="en-GB" sz="1400" b="1">
            <a:solidFill>
              <a:schemeClr val="tx1"/>
            </a:solidFill>
            <a:latin typeface="Corbel" panose="020B0503020204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GB" sz="1800" b="1" strike="dblStrike">
              <a:solidFill>
                <a:schemeClr val="tx1"/>
              </a:solidFill>
              <a:effectLst/>
              <a:latin typeface="Corbel" panose="020B0503020204020204" pitchFamily="34" charset="0"/>
              <a:ea typeface="+mn-ea"/>
              <a:cs typeface="+mn-cs"/>
            </a:rPr>
            <a:t>N</a:t>
          </a:r>
          <a:r>
            <a:rPr lang="en-GB" sz="1800" b="1" strike="noStrike" baseline="0">
              <a:solidFill>
                <a:schemeClr val="tx1"/>
              </a:solidFill>
              <a:effectLst/>
              <a:latin typeface="Corbel" panose="020B0503020204020204" pitchFamily="34" charset="0"/>
              <a:ea typeface="+mn-ea"/>
              <a:cs typeface="+mn-cs"/>
            </a:rPr>
            <a:t> 5.604M</a:t>
          </a:r>
          <a:endParaRPr lang="en-GB" sz="1800" b="1">
            <a:solidFill>
              <a:schemeClr val="tx1"/>
            </a:solidFill>
            <a:latin typeface="Corbel" panose="020B0503020204020204" pitchFamily="34" charset="0"/>
          </a:endParaRPr>
        </a:p>
      </xdr:txBody>
    </xdr:sp>
    <xdr:clientData/>
  </xdr:twoCellAnchor>
  <xdr:twoCellAnchor>
    <xdr:from>
      <xdr:col>16</xdr:col>
      <xdr:colOff>106633</xdr:colOff>
      <xdr:row>2</xdr:row>
      <xdr:rowOff>180974</xdr:rowOff>
    </xdr:from>
    <xdr:to>
      <xdr:col>19</xdr:col>
      <xdr:colOff>287383</xdr:colOff>
      <xdr:row>4</xdr:row>
      <xdr:rowOff>104174</xdr:rowOff>
    </xdr:to>
    <xdr:sp>
      <xdr:nvSpPr>
        <xdr:cNvPr id="8" name="TextBox 7"/>
        <xdr:cNvSpPr txBox="1"/>
      </xdr:nvSpPr>
      <xdr:spPr>
        <a:xfrm>
          <a:off x="8849995" y="904240"/>
          <a:ext cx="1790700" cy="971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latin typeface="Corbel" panose="020B0503020204020204" pitchFamily="34" charset="0"/>
            </a:rPr>
            <a:t>Average Revenue/Test</a:t>
          </a:r>
          <a:endParaRPr lang="en-GB" sz="1400" b="1">
            <a:latin typeface="Corbel" panose="020B0503020204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GB" sz="1800" b="1" strike="dblStrike">
              <a:solidFill>
                <a:schemeClr val="dk1"/>
              </a:solidFill>
              <a:effectLst/>
              <a:latin typeface="Corbel" panose="020B0503020204020204" pitchFamily="34" charset="0"/>
              <a:ea typeface="+mn-ea"/>
              <a:cs typeface="+mn-cs"/>
            </a:rPr>
            <a:t>N</a:t>
          </a:r>
          <a:r>
            <a:rPr lang="en-GB" sz="1800" b="1" strike="noStrike" baseline="0">
              <a:solidFill>
                <a:schemeClr val="dk1"/>
              </a:solidFill>
              <a:effectLst/>
              <a:latin typeface="Corbel" panose="020B0503020204020204" pitchFamily="34" charset="0"/>
              <a:ea typeface="+mn-ea"/>
              <a:cs typeface="+mn-cs"/>
            </a:rPr>
            <a:t> </a:t>
          </a:r>
          <a:r>
            <a:rPr lang="en-GB" sz="1800" b="1">
              <a:latin typeface="Corbel" panose="020B0503020204020204" pitchFamily="34" charset="0"/>
            </a:rPr>
            <a:t>4,483</a:t>
          </a:r>
          <a:endParaRPr lang="en-GB" sz="1800" b="1">
            <a:latin typeface="Corbel" panose="020B0503020204020204" pitchFamily="34" charset="0"/>
          </a:endParaRPr>
        </a:p>
      </xdr:txBody>
    </xdr:sp>
    <xdr:clientData/>
  </xdr:twoCellAnchor>
  <xdr:twoCellAnchor>
    <xdr:from>
      <xdr:col>24</xdr:col>
      <xdr:colOff>17318</xdr:colOff>
      <xdr:row>2</xdr:row>
      <xdr:rowOff>185088</xdr:rowOff>
    </xdr:from>
    <xdr:to>
      <xdr:col>26</xdr:col>
      <xdr:colOff>445718</xdr:colOff>
      <xdr:row>4</xdr:row>
      <xdr:rowOff>108288</xdr:rowOff>
    </xdr:to>
    <xdr:sp>
      <xdr:nvSpPr>
        <xdr:cNvPr id="9" name="TextBox 8"/>
        <xdr:cNvSpPr txBox="1"/>
      </xdr:nvSpPr>
      <xdr:spPr>
        <a:xfrm>
          <a:off x="12894945" y="904875"/>
          <a:ext cx="1799590" cy="974725"/>
        </a:xfrm>
        <a:prstGeom prst="rect">
          <a:avLst/>
        </a:prstGeom>
        <a:solidFill>
          <a:srgbClr val="E6C65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>
              <a:solidFill>
                <a:srgbClr val="1F4E79"/>
              </a:solidFill>
              <a:latin typeface="Corbel" panose="020B0503020204020204" pitchFamily="34" charset="0"/>
            </a:rPr>
            <a:t>Most Requested Test</a:t>
          </a:r>
          <a:endParaRPr lang="en-GB" sz="1200" b="1" baseline="0">
            <a:solidFill>
              <a:srgbClr val="1F4E79"/>
            </a:solidFill>
            <a:latin typeface="Corbel" panose="020B0503020204020204" pitchFamily="34" charset="0"/>
          </a:endParaRPr>
        </a:p>
        <a:p>
          <a:pPr algn="ctr"/>
          <a:r>
            <a:rPr lang="en-GB" sz="1500" b="1" baseline="0">
              <a:solidFill>
                <a:srgbClr val="1F4E79"/>
              </a:solidFill>
              <a:latin typeface="Corbel" panose="020B0503020204020204" pitchFamily="34" charset="0"/>
            </a:rPr>
            <a:t>Malaria Test</a:t>
          </a:r>
          <a:endParaRPr lang="en-GB" sz="1500" b="1" baseline="0">
            <a:solidFill>
              <a:srgbClr val="1F4E79"/>
            </a:solidFill>
            <a:latin typeface="Corbel" panose="020B0503020204020204" pitchFamily="34" charset="0"/>
          </a:endParaRPr>
        </a:p>
        <a:p>
          <a:pPr algn="ctr"/>
          <a:r>
            <a:rPr lang="en-GB" sz="1800" b="1" baseline="0">
              <a:solidFill>
                <a:srgbClr val="1F4E79"/>
              </a:solidFill>
              <a:latin typeface="Corbel" panose="020B0503020204020204" pitchFamily="34" charset="0"/>
            </a:rPr>
            <a:t>113 requests</a:t>
          </a:r>
          <a:endParaRPr lang="en-GB" sz="1800" b="1">
            <a:solidFill>
              <a:srgbClr val="1F4E79"/>
            </a:solidFill>
            <a:latin typeface="Corbel" panose="020B0503020204020204" pitchFamily="34" charset="0"/>
          </a:endParaRPr>
        </a:p>
      </xdr:txBody>
    </xdr:sp>
    <xdr:clientData/>
  </xdr:twoCellAnchor>
  <xdr:twoCellAnchor>
    <xdr:from>
      <xdr:col>27</xdr:col>
      <xdr:colOff>0</xdr:colOff>
      <xdr:row>3</xdr:row>
      <xdr:rowOff>1732</xdr:rowOff>
    </xdr:from>
    <xdr:to>
      <xdr:col>29</xdr:col>
      <xdr:colOff>428400</xdr:colOff>
      <xdr:row>4</xdr:row>
      <xdr:rowOff>115432</xdr:rowOff>
    </xdr:to>
    <xdr:sp>
      <xdr:nvSpPr>
        <xdr:cNvPr id="10" name="TextBox 9"/>
        <xdr:cNvSpPr txBox="1"/>
      </xdr:nvSpPr>
      <xdr:spPr>
        <a:xfrm>
          <a:off x="14935200" y="906145"/>
          <a:ext cx="1799590" cy="980440"/>
        </a:xfrm>
        <a:prstGeom prst="rect">
          <a:avLst/>
        </a:prstGeom>
        <a:solidFill>
          <a:srgbClr val="E6C65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>
              <a:solidFill>
                <a:srgbClr val="1F4E79"/>
              </a:solidFill>
              <a:latin typeface="Corbel" panose="020B0503020204020204" pitchFamily="34" charset="0"/>
            </a:rPr>
            <a:t>Highest Revenue Branch</a:t>
          </a:r>
          <a:endParaRPr lang="en-GB" sz="1200" b="1" baseline="0">
            <a:solidFill>
              <a:srgbClr val="1F4E79"/>
            </a:solidFill>
            <a:latin typeface="Corbel" panose="020B0503020204020204" pitchFamily="34" charset="0"/>
          </a:endParaRPr>
        </a:p>
        <a:p>
          <a:pPr algn="ctr"/>
          <a:r>
            <a:rPr lang="en-GB" sz="1400" b="1" baseline="0">
              <a:solidFill>
                <a:srgbClr val="1F4E79"/>
              </a:solidFill>
              <a:latin typeface="Corbel" panose="020B0503020204020204" pitchFamily="34" charset="0"/>
            </a:rPr>
            <a:t>City Branch</a:t>
          </a:r>
          <a:endParaRPr lang="en-GB" sz="1400" b="1" baseline="0">
            <a:solidFill>
              <a:srgbClr val="1F4E79"/>
            </a:solidFill>
            <a:latin typeface="Corbel" panose="020B0503020204020204" pitchFamily="34" charset="0"/>
          </a:endParaRPr>
        </a:p>
        <a:p>
          <a:pPr algn="ctr"/>
          <a:r>
            <a:rPr lang="en-GB" sz="1800" b="1" baseline="0">
              <a:solidFill>
                <a:srgbClr val="1F4E79"/>
              </a:solidFill>
              <a:latin typeface="Corbel" panose="020B0503020204020204" pitchFamily="34" charset="0"/>
            </a:rPr>
            <a:t>1.995M</a:t>
          </a:r>
          <a:endParaRPr lang="en-GB" sz="1800" b="1">
            <a:solidFill>
              <a:srgbClr val="1F4E79"/>
            </a:solidFill>
            <a:latin typeface="Corbel" panose="020B0503020204020204" pitchFamily="34" charset="0"/>
          </a:endParaRPr>
        </a:p>
      </xdr:txBody>
    </xdr:sp>
    <xdr:clientData/>
  </xdr:twoCellAnchor>
  <xdr:twoCellAnchor>
    <xdr:from>
      <xdr:col>4</xdr:col>
      <xdr:colOff>450275</xdr:colOff>
      <xdr:row>5</xdr:row>
      <xdr:rowOff>1732</xdr:rowOff>
    </xdr:from>
    <xdr:to>
      <xdr:col>20</xdr:col>
      <xdr:colOff>29307</xdr:colOff>
      <xdr:row>22</xdr:row>
      <xdr:rowOff>146539</xdr:rowOff>
    </xdr:to>
    <xdr:graphicFrame>
      <xdr:nvGraphicFramePr>
        <xdr:cNvPr id="11" name="Chart 10"/>
        <xdr:cNvGraphicFramePr/>
      </xdr:nvGraphicFramePr>
      <xdr:xfrm>
        <a:off x="2745740" y="1953895"/>
        <a:ext cx="8322945" cy="3221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161191</xdr:colOff>
      <xdr:row>5</xdr:row>
      <xdr:rowOff>0</xdr:rowOff>
    </xdr:from>
    <xdr:to>
      <xdr:col>32</xdr:col>
      <xdr:colOff>383244</xdr:colOff>
      <xdr:row>22</xdr:row>
      <xdr:rowOff>146937</xdr:rowOff>
    </xdr:to>
    <xdr:graphicFrame>
      <xdr:nvGraphicFramePr>
        <xdr:cNvPr id="12" name="Chart 11"/>
        <xdr:cNvGraphicFramePr/>
      </xdr:nvGraphicFramePr>
      <xdr:xfrm>
        <a:off x="11200130" y="1952625"/>
        <a:ext cx="7546975" cy="3223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450273</xdr:colOff>
      <xdr:row>23</xdr:row>
      <xdr:rowOff>58621</xdr:rowOff>
    </xdr:from>
    <xdr:to>
      <xdr:col>15</xdr:col>
      <xdr:colOff>0</xdr:colOff>
      <xdr:row>40</xdr:row>
      <xdr:rowOff>87342</xdr:rowOff>
    </xdr:to>
    <xdr:graphicFrame>
      <xdr:nvGraphicFramePr>
        <xdr:cNvPr id="13" name="Chart 12"/>
        <xdr:cNvGraphicFramePr/>
      </xdr:nvGraphicFramePr>
      <xdr:xfrm>
        <a:off x="2745740" y="5268595"/>
        <a:ext cx="5312410" cy="3105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133350</xdr:colOff>
      <xdr:row>23</xdr:row>
      <xdr:rowOff>66413</xdr:rowOff>
    </xdr:from>
    <xdr:to>
      <xdr:col>26</xdr:col>
      <xdr:colOff>561109</xdr:colOff>
      <xdr:row>40</xdr:row>
      <xdr:rowOff>75940</xdr:rowOff>
    </xdr:to>
    <xdr:graphicFrame>
      <xdr:nvGraphicFramePr>
        <xdr:cNvPr id="14" name="Chart 13"/>
        <xdr:cNvGraphicFramePr/>
      </xdr:nvGraphicFramePr>
      <xdr:xfrm>
        <a:off x="8191500" y="5276215"/>
        <a:ext cx="6618605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666750</xdr:colOff>
      <xdr:row>23</xdr:row>
      <xdr:rowOff>66413</xdr:rowOff>
    </xdr:from>
    <xdr:to>
      <xdr:col>32</xdr:col>
      <xdr:colOff>379268</xdr:colOff>
      <xdr:row>40</xdr:row>
      <xdr:rowOff>73269</xdr:rowOff>
    </xdr:to>
    <xdr:graphicFrame>
      <xdr:nvGraphicFramePr>
        <xdr:cNvPr id="15" name="Chart 14"/>
        <xdr:cNvGraphicFramePr/>
      </xdr:nvGraphicFramePr>
      <xdr:xfrm>
        <a:off x="14916150" y="5276215"/>
        <a:ext cx="3827145" cy="308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371170</xdr:colOff>
      <xdr:row>2</xdr:row>
      <xdr:rowOff>180974</xdr:rowOff>
    </xdr:from>
    <xdr:to>
      <xdr:col>15</xdr:col>
      <xdr:colOff>551920</xdr:colOff>
      <xdr:row>4</xdr:row>
      <xdr:rowOff>104174</xdr:rowOff>
    </xdr:to>
    <xdr:sp>
      <xdr:nvSpPr>
        <xdr:cNvPr id="16" name="TextBox 15"/>
        <xdr:cNvSpPr txBox="1"/>
      </xdr:nvSpPr>
      <xdr:spPr>
        <a:xfrm>
          <a:off x="6828790" y="904240"/>
          <a:ext cx="1781175" cy="9715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latin typeface="Corbel" panose="020B0503020204020204" pitchFamily="34" charset="0"/>
            </a:rPr>
            <a:t>Average Revenue/Month</a:t>
          </a:r>
          <a:endParaRPr lang="en-GB" sz="1400" b="1">
            <a:latin typeface="Corbel" panose="020B0503020204020204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GB" sz="1800" b="1" strike="dblStrike">
              <a:solidFill>
                <a:schemeClr val="dk1"/>
              </a:solidFill>
              <a:effectLst/>
              <a:latin typeface="Corbel" panose="020B0503020204020204" pitchFamily="34" charset="0"/>
              <a:ea typeface="+mn-ea"/>
              <a:cs typeface="+mn-cs"/>
            </a:rPr>
            <a:t>N</a:t>
          </a:r>
          <a:r>
            <a:rPr lang="en-GB" sz="1800" b="1" strike="noStrike" baseline="0">
              <a:solidFill>
                <a:schemeClr val="dk1"/>
              </a:solidFill>
              <a:effectLst/>
              <a:latin typeface="Corbel" panose="020B0503020204020204" pitchFamily="34" charset="0"/>
              <a:ea typeface="+mn-ea"/>
              <a:cs typeface="+mn-cs"/>
            </a:rPr>
            <a:t> </a:t>
          </a:r>
          <a:r>
            <a:rPr lang="en-GB" sz="1800" b="1">
              <a:latin typeface="Corbel" panose="020B0503020204020204" pitchFamily="34" charset="0"/>
            </a:rPr>
            <a:t>4.67K</a:t>
          </a:r>
          <a:endParaRPr lang="en-GB" sz="1800" b="1">
            <a:latin typeface="Corbel" panose="020B0503020204020204" pitchFamily="34" charset="0"/>
          </a:endParaRPr>
        </a:p>
      </xdr:txBody>
    </xdr:sp>
    <xdr:clientData/>
  </xdr:twoCellAnchor>
  <xdr:twoCellAnchor editAs="oneCell">
    <xdr:from>
      <xdr:col>1</xdr:col>
      <xdr:colOff>21430</xdr:colOff>
      <xdr:row>3</xdr:row>
      <xdr:rowOff>796976</xdr:rowOff>
    </xdr:from>
    <xdr:to>
      <xdr:col>4</xdr:col>
      <xdr:colOff>305339</xdr:colOff>
      <xdr:row>19</xdr:row>
      <xdr:rowOff>22652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Months (Date)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 (Date)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655" y="1701800"/>
              <a:ext cx="2312670" cy="280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17145</xdr:colOff>
      <xdr:row>15</xdr:row>
      <xdr:rowOff>149860</xdr:rowOff>
    </xdr:from>
    <xdr:to>
      <xdr:col>4</xdr:col>
      <xdr:colOff>302895</xdr:colOff>
      <xdr:row>23</xdr:row>
      <xdr:rowOff>52705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Branc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c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845" y="3912235"/>
              <a:ext cx="2314575" cy="1350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17145</xdr:colOff>
      <xdr:row>23</xdr:row>
      <xdr:rowOff>54610</xdr:rowOff>
    </xdr:from>
    <xdr:to>
      <xdr:col>4</xdr:col>
      <xdr:colOff>301625</xdr:colOff>
      <xdr:row>32</xdr:row>
      <xdr:rowOff>70485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Test Catego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st 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845" y="5264785"/>
              <a:ext cx="2313305" cy="164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20781</xdr:colOff>
      <xdr:row>32</xdr:row>
      <xdr:rowOff>67007</xdr:rowOff>
    </xdr:from>
    <xdr:to>
      <xdr:col>4</xdr:col>
      <xdr:colOff>297874</xdr:colOff>
      <xdr:row>39</xdr:row>
      <xdr:rowOff>137218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Payment  Method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 Method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020" y="6905625"/>
              <a:ext cx="2306320" cy="1337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17318</xdr:colOff>
      <xdr:row>41</xdr:row>
      <xdr:rowOff>31039</xdr:rowOff>
    </xdr:from>
    <xdr:to>
      <xdr:col>4</xdr:col>
      <xdr:colOff>322119</xdr:colOff>
      <xdr:row>44</xdr:row>
      <xdr:rowOff>123492</xdr:rowOff>
    </xdr:to>
    <xdr:sp>
      <xdr:nvSpPr>
        <xdr:cNvPr id="23" name="TextBox 22"/>
        <xdr:cNvSpPr txBox="1"/>
      </xdr:nvSpPr>
      <xdr:spPr>
        <a:xfrm>
          <a:off x="283845" y="8498205"/>
          <a:ext cx="2333625" cy="63563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600" b="1">
              <a:latin typeface="Corbel" panose="020B0503020204020204" pitchFamily="34" charset="0"/>
            </a:rPr>
            <a:t>Key Insights and Recommendations</a:t>
          </a:r>
          <a:endParaRPr lang="en-GB" sz="1600" b="1">
            <a:latin typeface="Corbel" panose="020B0503020204020204" pitchFamily="34" charset="0"/>
          </a:endParaRPr>
        </a:p>
      </xdr:txBody>
    </xdr:sp>
    <xdr:clientData/>
  </xdr:twoCellAnchor>
  <xdr:twoCellAnchor>
    <xdr:from>
      <xdr:col>4</xdr:col>
      <xdr:colOff>450272</xdr:colOff>
      <xdr:row>41</xdr:row>
      <xdr:rowOff>37102</xdr:rowOff>
    </xdr:from>
    <xdr:to>
      <xdr:col>14</xdr:col>
      <xdr:colOff>107672</xdr:colOff>
      <xdr:row>44</xdr:row>
      <xdr:rowOff>129555</xdr:rowOff>
    </xdr:to>
    <xdr:sp>
      <xdr:nvSpPr>
        <xdr:cNvPr id="24" name="TextBox 23"/>
        <xdr:cNvSpPr txBox="1"/>
      </xdr:nvSpPr>
      <xdr:spPr>
        <a:xfrm>
          <a:off x="2745740" y="8504555"/>
          <a:ext cx="5181600" cy="63563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1000" b="1">
              <a:latin typeface="Corbel" panose="020B0503020204020204" pitchFamily="34" charset="0"/>
            </a:rPr>
            <a:t>City Branch contributed</a:t>
          </a:r>
          <a:r>
            <a:rPr lang="en-US" altLang="en-GB" sz="1000" b="1">
              <a:latin typeface="Corbel" panose="020B0503020204020204" pitchFamily="34" charset="0"/>
            </a:rPr>
            <a:t> </a:t>
          </a:r>
          <a:r>
            <a:rPr lang="en-GB" sz="1000" b="1">
              <a:latin typeface="Corbel" panose="020B0503020204020204" pitchFamily="34" charset="0"/>
            </a:rPr>
            <a:t>35.6%</a:t>
          </a:r>
          <a:r>
            <a:rPr lang="en-GB" sz="1000" b="1" baseline="0">
              <a:latin typeface="Corbel" panose="020B0503020204020204" pitchFamily="34" charset="0"/>
            </a:rPr>
            <a:t> of total revenue </a:t>
          </a:r>
          <a:endParaRPr lang="en-GB" sz="1000" b="1" baseline="0">
            <a:latin typeface="Corbel" panose="020B0503020204020204" pitchFamily="34" charset="0"/>
          </a:endParaRPr>
        </a:p>
        <a:p>
          <a:pPr algn="l"/>
          <a:endParaRPr lang="en-GB" sz="1000" b="1" baseline="0">
            <a:latin typeface="Corbel" panose="020B0503020204020204" pitchFamily="34" charset="0"/>
          </a:endParaRPr>
        </a:p>
        <a:p>
          <a:pPr lvl="0" algn="l"/>
          <a:r>
            <a:rPr lang="en-GB" sz="1000" b="1" baseline="0">
              <a:latin typeface="Corbel" panose="020B0503020204020204" pitchFamily="34" charset="0"/>
            </a:rPr>
            <a:t>Maintaining strong  branch performance</a:t>
          </a:r>
          <a:endParaRPr lang="en-GB" sz="1000" b="1">
            <a:latin typeface="Corbel" panose="020B0503020204020204" pitchFamily="34" charset="0"/>
          </a:endParaRPr>
        </a:p>
      </xdr:txBody>
    </xdr:sp>
    <xdr:clientData/>
  </xdr:twoCellAnchor>
  <xdr:twoCellAnchor>
    <xdr:from>
      <xdr:col>15</xdr:col>
      <xdr:colOff>100439</xdr:colOff>
      <xdr:row>41</xdr:row>
      <xdr:rowOff>33638</xdr:rowOff>
    </xdr:from>
    <xdr:to>
      <xdr:col>24</xdr:col>
      <xdr:colOff>462689</xdr:colOff>
      <xdr:row>44</xdr:row>
      <xdr:rowOff>126091</xdr:rowOff>
    </xdr:to>
    <xdr:sp>
      <xdr:nvSpPr>
        <xdr:cNvPr id="25" name="TextBox 24"/>
        <xdr:cNvSpPr txBox="1"/>
      </xdr:nvSpPr>
      <xdr:spPr>
        <a:xfrm>
          <a:off x="8158480" y="8500745"/>
          <a:ext cx="5181600" cy="63563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1000" b="1">
              <a:latin typeface="Corbel" panose="020B0503020204020204" pitchFamily="34" charset="0"/>
            </a:rPr>
            <a:t>Malaria Test</a:t>
          </a:r>
          <a:r>
            <a:rPr lang="en-GB" sz="1000" b="1" baseline="0">
              <a:latin typeface="Corbel" panose="020B0503020204020204" pitchFamily="34" charset="0"/>
            </a:rPr>
            <a:t> recorded the highest demand with 113 request</a:t>
          </a:r>
          <a:endParaRPr lang="en-GB" sz="1000" b="1" baseline="0">
            <a:latin typeface="Corbel" panose="020B0503020204020204" pitchFamily="34" charset="0"/>
          </a:endParaRPr>
        </a:p>
        <a:p>
          <a:pPr algn="l"/>
          <a:endParaRPr lang="en-GB" sz="1000" b="1" baseline="0">
            <a:latin typeface="Corbel" panose="020B0503020204020204" pitchFamily="34" charset="0"/>
          </a:endParaRPr>
        </a:p>
        <a:p>
          <a:pPr algn="l"/>
          <a:r>
            <a:rPr lang="en-GB" sz="1000" b="1">
              <a:latin typeface="Corbel" panose="020B0503020204020204" pitchFamily="34" charset="0"/>
            </a:rPr>
            <a:t>Ensure</a:t>
          </a:r>
          <a:r>
            <a:rPr lang="en-GB" sz="1000" b="1" baseline="0">
              <a:latin typeface="Corbel" panose="020B0503020204020204" pitchFamily="34" charset="0"/>
            </a:rPr>
            <a:t> adequate reagent availablity</a:t>
          </a:r>
          <a:endParaRPr lang="en-GB" sz="1000" b="1">
            <a:latin typeface="Corbel" panose="020B0503020204020204" pitchFamily="34" charset="0"/>
          </a:endParaRPr>
        </a:p>
      </xdr:txBody>
    </xdr:sp>
    <xdr:clientData/>
  </xdr:twoCellAnchor>
  <xdr:twoCellAnchor>
    <xdr:from>
      <xdr:col>24</xdr:col>
      <xdr:colOff>672802</xdr:colOff>
      <xdr:row>41</xdr:row>
      <xdr:rowOff>37968</xdr:rowOff>
    </xdr:from>
    <xdr:to>
      <xdr:col>32</xdr:col>
      <xdr:colOff>406402</xdr:colOff>
      <xdr:row>44</xdr:row>
      <xdr:rowOff>130421</xdr:rowOff>
    </xdr:to>
    <xdr:sp>
      <xdr:nvSpPr>
        <xdr:cNvPr id="26" name="TextBox 25"/>
        <xdr:cNvSpPr txBox="1"/>
      </xdr:nvSpPr>
      <xdr:spPr>
        <a:xfrm>
          <a:off x="13550265" y="8505190"/>
          <a:ext cx="5220335" cy="63563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1000" b="1">
              <a:latin typeface="Corbel" panose="020B0503020204020204" pitchFamily="34" charset="0"/>
            </a:rPr>
            <a:t>Clinical Chemistry generated</a:t>
          </a:r>
          <a:r>
            <a:rPr lang="en-GB" sz="1000" b="1" baseline="0">
              <a:latin typeface="Corbel" panose="020B0503020204020204" pitchFamily="34" charset="0"/>
            </a:rPr>
            <a:t> the</a:t>
          </a:r>
          <a:r>
            <a:rPr lang="en-GB" sz="1000" b="1">
              <a:latin typeface="Corbel" panose="020B0503020204020204" pitchFamily="34" charset="0"/>
            </a:rPr>
            <a:t> highest departmental revenue (2.25M)</a:t>
          </a:r>
          <a:endParaRPr lang="en-GB" sz="1000" b="1">
            <a:latin typeface="Corbel" panose="020B0503020204020204" pitchFamily="34" charset="0"/>
          </a:endParaRPr>
        </a:p>
        <a:p>
          <a:pPr algn="l"/>
          <a:endParaRPr lang="en-GB" sz="1000" b="1">
            <a:latin typeface="Corbel" panose="020B0503020204020204" pitchFamily="34" charset="0"/>
          </a:endParaRPr>
        </a:p>
        <a:p>
          <a:pPr algn="l"/>
          <a:r>
            <a:rPr lang="en-GB" sz="1000" b="1">
              <a:latin typeface="Corbel" panose="020B0503020204020204" pitchFamily="34" charset="0"/>
            </a:rPr>
            <a:t>Prioritize</a:t>
          </a:r>
          <a:r>
            <a:rPr lang="en-GB" sz="1000" b="1" baseline="0">
              <a:latin typeface="Corbel" panose="020B0503020204020204" pitchFamily="34" charset="0"/>
            </a:rPr>
            <a:t> department</a:t>
          </a:r>
          <a:endParaRPr lang="en-GB" sz="1000" b="1">
            <a:latin typeface="Corbel" panose="020B0503020204020204" pitchFamily="34" charset="0"/>
          </a:endParaRPr>
        </a:p>
      </xdr:txBody>
    </xdr:sp>
    <xdr:clientData/>
  </xdr:twoCellAnchor>
  <xdr:twoCellAnchor>
    <xdr:from>
      <xdr:col>1</xdr:col>
      <xdr:colOff>6922</xdr:colOff>
      <xdr:row>45</xdr:row>
      <xdr:rowOff>17986</xdr:rowOff>
    </xdr:from>
    <xdr:to>
      <xdr:col>32</xdr:col>
      <xdr:colOff>424961</xdr:colOff>
      <xdr:row>47</xdr:row>
      <xdr:rowOff>34288</xdr:rowOff>
    </xdr:to>
    <xdr:sp>
      <xdr:nvSpPr>
        <xdr:cNvPr id="29" name="TextBox 28"/>
        <xdr:cNvSpPr txBox="1"/>
      </xdr:nvSpPr>
      <xdr:spPr>
        <a:xfrm>
          <a:off x="273050" y="9209405"/>
          <a:ext cx="18515965" cy="3778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1400" b="1">
              <a:solidFill>
                <a:srgbClr val="808080"/>
              </a:solidFill>
              <a:latin typeface="Corbel" panose="020B0503020204020204" pitchFamily="34" charset="0"/>
            </a:rPr>
            <a:t>Source: Synthetic Laboratory Sales Dataset | Tool: Microsoft Excel PivotTable</a:t>
          </a:r>
          <a:r>
            <a:rPr lang="en-GB" sz="1400" b="1" baseline="0">
              <a:solidFill>
                <a:srgbClr val="808080"/>
              </a:solidFill>
              <a:latin typeface="Corbel" panose="020B0503020204020204" pitchFamily="34" charset="0"/>
            </a:rPr>
            <a:t> Dashboard</a:t>
          </a:r>
          <a:endParaRPr lang="en-GB" sz="1400" b="1">
            <a:solidFill>
              <a:srgbClr val="808080"/>
            </a:solidFill>
            <a:latin typeface="Corbel" panose="020B0503020204020204" pitchFamily="34" charset="0"/>
          </a:endParaRPr>
        </a:p>
      </xdr:txBody>
    </xdr:sp>
    <xdr:clientData/>
  </xdr:twoCellAnchor>
  <xdr:twoCellAnchor>
    <xdr:from>
      <xdr:col>29</xdr:col>
      <xdr:colOff>666750</xdr:colOff>
      <xdr:row>3</xdr:row>
      <xdr:rowOff>1733</xdr:rowOff>
    </xdr:from>
    <xdr:to>
      <xdr:col>32</xdr:col>
      <xdr:colOff>409350</xdr:colOff>
      <xdr:row>4</xdr:row>
      <xdr:rowOff>115433</xdr:rowOff>
    </xdr:to>
    <xdr:sp>
      <xdr:nvSpPr>
        <xdr:cNvPr id="30" name="TextBox 29"/>
        <xdr:cNvSpPr txBox="1"/>
      </xdr:nvSpPr>
      <xdr:spPr>
        <a:xfrm>
          <a:off x="16973550" y="906145"/>
          <a:ext cx="1799590" cy="980440"/>
        </a:xfrm>
        <a:prstGeom prst="rect">
          <a:avLst/>
        </a:prstGeom>
        <a:solidFill>
          <a:srgbClr val="E6C65F"/>
        </a:solidFill>
        <a:ln w="38100" cmpd="sng">
          <a:solidFill>
            <a:srgbClr val="D4AF3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>
              <a:solidFill>
                <a:srgbClr val="1F4E79"/>
              </a:solidFill>
              <a:latin typeface="Corbel" panose="020B0503020204020204" pitchFamily="34" charset="0"/>
            </a:rPr>
            <a:t>Revenue Growth</a:t>
          </a:r>
          <a:endParaRPr lang="en-GB" sz="1400" b="1" baseline="0">
            <a:solidFill>
              <a:srgbClr val="1F4E79"/>
            </a:solidFill>
            <a:latin typeface="Corbel" panose="020B0503020204020204" pitchFamily="34" charset="0"/>
          </a:endParaRPr>
        </a:p>
        <a:p>
          <a:pPr algn="ctr"/>
          <a:r>
            <a:rPr lang="en-GB" sz="1800" b="1" baseline="0">
              <a:solidFill>
                <a:srgbClr val="1F4E79"/>
              </a:solidFill>
              <a:latin typeface="Corbel" panose="020B0503020204020204" pitchFamily="34" charset="0"/>
            </a:rPr>
            <a:t>3.3%</a:t>
          </a:r>
          <a:endParaRPr lang="en-GB" sz="1800" b="1" baseline="0">
            <a:solidFill>
              <a:srgbClr val="1F4E79"/>
            </a:solidFill>
            <a:latin typeface="Corbel" panose="020B0503020204020204" pitchFamily="34" charset="0"/>
          </a:endParaRPr>
        </a:p>
        <a:p>
          <a:pPr algn="ctr"/>
          <a:r>
            <a:rPr lang="en-GB" sz="1200" b="1" baseline="0">
              <a:solidFill>
                <a:srgbClr val="1F4E79"/>
              </a:solidFill>
              <a:latin typeface="Corbel" panose="020B0503020204020204" pitchFamily="34" charset="0"/>
            </a:rPr>
            <a:t>vs Previous Quarter</a:t>
          </a:r>
          <a:endParaRPr lang="en-GB" sz="1200" b="1">
            <a:solidFill>
              <a:srgbClr val="1F4E79"/>
            </a:solidFill>
            <a:latin typeface="Corbel" panose="020B0503020204020204" pitchFamily="34" charset="0"/>
          </a:endParaRPr>
        </a:p>
      </xdr:txBody>
    </xdr:sp>
    <xdr:clientData/>
  </xdr:twoCellAnchor>
  <xdr:twoCellAnchor>
    <xdr:from>
      <xdr:col>30</xdr:col>
      <xdr:colOff>542681</xdr:colOff>
      <xdr:row>3</xdr:row>
      <xdr:rowOff>304800</xdr:rowOff>
    </xdr:from>
    <xdr:to>
      <xdr:col>30</xdr:col>
      <xdr:colOff>552450</xdr:colOff>
      <xdr:row>3</xdr:row>
      <xdr:rowOff>685800</xdr:rowOff>
    </xdr:to>
    <xdr:cxnSp>
      <xdr:nvCxnSpPr>
        <xdr:cNvPr id="32" name="Straight Arrow Connector 31"/>
        <xdr:cNvCxnSpPr/>
      </xdr:nvCxnSpPr>
      <xdr:spPr>
        <a:xfrm flipV="1">
          <a:off x="17534890" y="1209675"/>
          <a:ext cx="10160" cy="381000"/>
        </a:xfrm>
        <a:prstGeom prst="straightConnector1">
          <a:avLst/>
        </a:prstGeom>
        <a:ln w="28575">
          <a:solidFill>
            <a:schemeClr val="accent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285750</xdr:colOff>
      <xdr:row>0</xdr:row>
      <xdr:rowOff>95250</xdr:rowOff>
    </xdr:from>
    <xdr:to>
      <xdr:col>32</xdr:col>
      <xdr:colOff>438150</xdr:colOff>
      <xdr:row>2</xdr:row>
      <xdr:rowOff>76200</xdr:rowOff>
    </xdr:to>
    <xdr:sp>
      <xdr:nvSpPr>
        <xdr:cNvPr id="35" name="TextBox 34"/>
        <xdr:cNvSpPr txBox="1"/>
      </xdr:nvSpPr>
      <xdr:spPr>
        <a:xfrm>
          <a:off x="15220950" y="95250"/>
          <a:ext cx="358140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GB" sz="1600" b="1">
              <a:solidFill>
                <a:schemeClr val="bg1"/>
              </a:solidFill>
              <a:latin typeface="Corbel" panose="020B0503020204020204" pitchFamily="34" charset="0"/>
            </a:rPr>
            <a:t>Reporting Period: </a:t>
          </a:r>
          <a:r>
            <a:rPr lang="en-GB" sz="1600">
              <a:solidFill>
                <a:schemeClr val="bg1"/>
              </a:solidFill>
              <a:latin typeface="Corbel" panose="020B0503020204020204" pitchFamily="34" charset="0"/>
            </a:rPr>
            <a:t>Jan 2025 - Dec 2025</a:t>
          </a:r>
          <a:endParaRPr lang="en-GB" sz="1600">
            <a:solidFill>
              <a:schemeClr val="bg1"/>
            </a:solidFill>
            <a:latin typeface="Corbel" panose="020B0503020204020204" pitchFamily="34" charset="0"/>
          </a:endParaRPr>
        </a:p>
        <a:p>
          <a:pPr algn="r"/>
          <a:r>
            <a:rPr lang="en-GB" sz="1600" b="1">
              <a:solidFill>
                <a:schemeClr val="bg1"/>
              </a:solidFill>
              <a:latin typeface="Corbel" panose="020B0503020204020204" pitchFamily="34" charset="0"/>
            </a:rPr>
            <a:t>Last Updated:</a:t>
          </a:r>
          <a:r>
            <a:rPr lang="en-GB" sz="1600" b="1" baseline="0">
              <a:solidFill>
                <a:schemeClr val="bg1"/>
              </a:solidFill>
              <a:latin typeface="Corbel" panose="020B0503020204020204" pitchFamily="34" charset="0"/>
            </a:rPr>
            <a:t> </a:t>
          </a:r>
          <a:r>
            <a:rPr lang="en-GB" sz="1600" baseline="0">
              <a:solidFill>
                <a:schemeClr val="bg1"/>
              </a:solidFill>
              <a:latin typeface="Corbel" panose="020B0503020204020204" pitchFamily="34" charset="0"/>
            </a:rPr>
            <a:t>July 2026</a:t>
          </a:r>
          <a:endParaRPr lang="en-GB" sz="1600">
            <a:solidFill>
              <a:schemeClr val="bg1"/>
            </a:solidFill>
            <a:latin typeface="Corbel" panose="020B0503020204020204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0.33528</cdr:x>
      <cdr:y>0.33406</cdr:y>
    </cdr:from>
    <cdr:to>
      <cdr:x>0.67351</cdr:x>
      <cdr:y>0.64645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283217" y="1096607"/>
          <a:ext cx="1294524" cy="1025464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400" b="1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Customer Distribution</a:t>
          </a:r>
          <a:endParaRPr lang="en-US" sz="1400" b="1" i="0" baseline="0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400" b="1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1,000 Patients</a:t>
          </a:r>
          <a:endParaRPr lang="en-GB" sz="1400" b="1">
            <a:solidFill>
              <a:srgbClr val="0070C0"/>
            </a:solidFill>
            <a:effectLst/>
            <a:latin typeface="+mn-lt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19050</xdr:colOff>
      <xdr:row>2</xdr:row>
      <xdr:rowOff>19050</xdr:rowOff>
    </xdr:from>
    <xdr:to>
      <xdr:col>12</xdr:col>
      <xdr:colOff>152400</xdr:colOff>
      <xdr:row>16</xdr:row>
      <xdr:rowOff>95250</xdr:rowOff>
    </xdr:to>
    <xdr:graphicFrame>
      <xdr:nvGraphicFramePr>
        <xdr:cNvPr id="2" name="Chart 1"/>
        <xdr:cNvGraphicFramePr/>
      </xdr:nvGraphicFramePr>
      <xdr:xfrm>
        <a:off x="3952875" y="381000"/>
        <a:ext cx="561975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1162050</xdr:colOff>
      <xdr:row>2</xdr:row>
      <xdr:rowOff>28575</xdr:rowOff>
    </xdr:from>
    <xdr:to>
      <xdr:col>10</xdr:col>
      <xdr:colOff>438150</xdr:colOff>
      <xdr:row>16</xdr:row>
      <xdr:rowOff>76200</xdr:rowOff>
    </xdr:to>
    <xdr:graphicFrame>
      <xdr:nvGraphicFramePr>
        <xdr:cNvPr id="2" name="Chart 1"/>
        <xdr:cNvGraphicFramePr/>
      </xdr:nvGraphicFramePr>
      <xdr:xfrm>
        <a:off x="3619500" y="390525"/>
        <a:ext cx="5248275" cy="2581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600075</xdr:colOff>
      <xdr:row>2</xdr:row>
      <xdr:rowOff>0</xdr:rowOff>
    </xdr:from>
    <xdr:to>
      <xdr:col>8</xdr:col>
      <xdr:colOff>123825</xdr:colOff>
      <xdr:row>16</xdr:row>
      <xdr:rowOff>76200</xdr:rowOff>
    </xdr:to>
    <xdr:graphicFrame>
      <xdr:nvGraphicFramePr>
        <xdr:cNvPr id="2" name="Chart 1"/>
        <xdr:cNvGraphicFramePr/>
      </xdr:nvGraphicFramePr>
      <xdr:xfrm>
        <a:off x="3133725" y="361950"/>
        <a:ext cx="4676775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676275</xdr:colOff>
      <xdr:row>1</xdr:row>
      <xdr:rowOff>171450</xdr:rowOff>
    </xdr:from>
    <xdr:to>
      <xdr:col>11</xdr:col>
      <xdr:colOff>514350</xdr:colOff>
      <xdr:row>16</xdr:row>
      <xdr:rowOff>66675</xdr:rowOff>
    </xdr:to>
    <xdr:graphicFrame>
      <xdr:nvGraphicFramePr>
        <xdr:cNvPr id="2" name="Chart 1"/>
        <xdr:cNvGraphicFramePr/>
      </xdr:nvGraphicFramePr>
      <xdr:xfrm>
        <a:off x="4029075" y="352425"/>
        <a:ext cx="5324475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9525</xdr:colOff>
      <xdr:row>2</xdr:row>
      <xdr:rowOff>0</xdr:rowOff>
    </xdr:from>
    <xdr:to>
      <xdr:col>10</xdr:col>
      <xdr:colOff>314325</xdr:colOff>
      <xdr:row>16</xdr:row>
      <xdr:rowOff>76200</xdr:rowOff>
    </xdr:to>
    <xdr:graphicFrame>
      <xdr:nvGraphicFramePr>
        <xdr:cNvPr id="2" name="Chart 1"/>
        <xdr:cNvGraphicFramePr/>
      </xdr:nvGraphicFramePr>
      <xdr:xfrm>
        <a:off x="2952750" y="361950"/>
        <a:ext cx="510540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15</xdr:row>
      <xdr:rowOff>0</xdr:rowOff>
    </xdr:from>
    <xdr:to>
      <xdr:col>1</xdr:col>
      <xdr:colOff>923925</xdr:colOff>
      <xdr:row>30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atient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tien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714625"/>
              <a:ext cx="182880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28575</xdr:colOff>
      <xdr:row>15</xdr:row>
      <xdr:rowOff>0</xdr:rowOff>
    </xdr:from>
    <xdr:to>
      <xdr:col>4</xdr:col>
      <xdr:colOff>219075</xdr:colOff>
      <xdr:row>30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Branc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0300" y="2714625"/>
              <a:ext cx="182880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542925</xdr:colOff>
      <xdr:row>14</xdr:row>
      <xdr:rowOff>85725</xdr:rowOff>
    </xdr:from>
    <xdr:to>
      <xdr:col>7</xdr:col>
      <xdr:colOff>314325</xdr:colOff>
      <xdr:row>29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Tes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s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950" y="2619375"/>
              <a:ext cx="182880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38100</xdr:colOff>
      <xdr:row>14</xdr:row>
      <xdr:rowOff>38100</xdr:rowOff>
    </xdr:from>
    <xdr:to>
      <xdr:col>14</xdr:col>
      <xdr:colOff>495300</xdr:colOff>
      <xdr:row>29</xdr:row>
      <xdr:rowOff>117475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ayment  Method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 Metho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34525" y="2571750"/>
              <a:ext cx="182880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257175</xdr:colOff>
      <xdr:row>14</xdr:row>
      <xdr:rowOff>57150</xdr:rowOff>
    </xdr:from>
    <xdr:to>
      <xdr:col>11</xdr:col>
      <xdr:colOff>28575</xdr:colOff>
      <xdr:row>28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Months (Date)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 (Dat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0400" y="2590800"/>
              <a:ext cx="1828800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missingItemsLimit="0" refreshedDate="46224.9845415509" refreshedBy="Abubakar Oyewale" recordCount="1000">
  <cacheSource type="worksheet">
    <worksheetSource name="Table1"/>
  </cacheSource>
  <cacheFields count="13">
    <cacheField name="Transaction ID" numFmtId="0">
      <sharedItems count="1000">
        <s v="TX0508"/>
        <s v="TX0946"/>
        <s v="TX0278"/>
        <s v="TX0578"/>
        <s v="TX0836"/>
        <s v="TX0132"/>
        <s v="TX0295"/>
        <s v="TX0401"/>
        <s v="TX0472"/>
        <s v="TX0323"/>
        <s v="TX0737"/>
        <s v="TX0905"/>
        <s v="TX0014"/>
        <s v="TX0162"/>
        <s v="TX0583"/>
        <s v="TX0690"/>
        <s v="TX0822"/>
        <s v="TX0833"/>
        <s v="TX0211"/>
        <s v="TX0597"/>
        <s v="TX0649"/>
        <s v="TX0191"/>
        <s v="TX0677"/>
        <s v="TX0128"/>
        <s v="TX0336"/>
        <s v="TX0470"/>
        <s v="TX0501"/>
        <s v="TX0358"/>
        <s v="TX0564"/>
        <s v="TX0888"/>
        <s v="TX0958"/>
        <s v="TX0347"/>
        <s v="TX0610"/>
        <s v="TX0403"/>
        <s v="TX0594"/>
        <s v="TX0689"/>
        <s v="TX0975"/>
        <s v="TX0233"/>
        <s v="TX0439"/>
        <s v="TX0660"/>
        <s v="TX0750"/>
        <s v="TX0804"/>
        <s v="TX0026"/>
        <s v="TX0534"/>
        <s v="TX0936"/>
        <s v="TX0082"/>
        <s v="TX0297"/>
        <s v="TX0353"/>
        <s v="TX0091"/>
        <s v="TX0221"/>
        <s v="TX0796"/>
        <s v="TX0961"/>
        <s v="TX0055"/>
        <s v="TX0837"/>
        <s v="TX0170"/>
        <s v="TX0536"/>
        <s v="TX0835"/>
        <s v="TX0256"/>
        <s v="TX0757"/>
        <s v="TX0839"/>
        <s v="TX0041"/>
        <s v="TX0807"/>
        <s v="TX0903"/>
        <s v="TX0064"/>
        <s v="TX0089"/>
        <s v="TX0360"/>
        <s v="TX0438"/>
        <s v="TX0596"/>
        <s v="TX0088"/>
        <s v="TX0175"/>
        <s v="TX0235"/>
        <s v="TX0410"/>
        <s v="TX0809"/>
        <s v="TX0308"/>
        <s v="TX0705"/>
        <s v="TX0753"/>
        <s v="TX0912"/>
        <s v="TX0918"/>
        <s v="TX0998"/>
        <s v="TX0043"/>
        <s v="TX0495"/>
        <s v="TX0939"/>
        <s v="TX0057"/>
        <s v="TX0019"/>
        <s v="TX0404"/>
        <s v="TX0754"/>
        <s v="TX0933"/>
        <s v="TX0950"/>
        <s v="TX0455"/>
        <s v="TX0703"/>
        <s v="TX0815"/>
        <s v="TX0897"/>
        <s v="TX0995"/>
        <s v="TX0376"/>
        <s v="TX0425"/>
        <s v="TX0743"/>
        <s v="TX0227"/>
        <s v="TX0355"/>
        <s v="TX0801"/>
        <s v="TX0226"/>
        <s v="TX0431"/>
        <s v="TX0542"/>
        <s v="TX0667"/>
        <s v="TX0866"/>
        <s v="TX0914"/>
        <s v="TX0140"/>
        <s v="TX0304"/>
        <s v="TX0883"/>
        <s v="TX0117"/>
        <s v="TX0303"/>
        <s v="TX0794"/>
        <s v="TX0429"/>
        <s v="TX0029"/>
        <s v="TX0440"/>
        <s v="TX0751"/>
        <s v="TX0105"/>
        <s v="TX0150"/>
        <s v="TX0372"/>
        <s v="TX0738"/>
        <s v="TX0767"/>
        <s v="TX0992"/>
        <s v="TX0181"/>
        <s v="TX0493"/>
        <s v="TX0554"/>
        <s v="TX0010"/>
        <s v="TX0215"/>
        <s v="TX0287"/>
        <s v="TX0585"/>
        <s v="TX0605"/>
        <s v="TX0163"/>
        <s v="TX0179"/>
        <s v="TX0468"/>
        <s v="TX0639"/>
        <s v="TX0786"/>
        <s v="TX0214"/>
        <s v="TX0499"/>
        <s v="TX0970"/>
        <s v="TX0133"/>
        <s v="TX0842"/>
        <s v="TX0244"/>
        <s v="TX0291"/>
        <s v="TX0348"/>
        <s v="TX0373"/>
        <s v="TX0562"/>
        <s v="TX0949"/>
        <s v="TX0969"/>
        <s v="TX0978"/>
        <s v="TX0412"/>
        <s v="TX0604"/>
        <s v="TX0261"/>
        <s v="TX0924"/>
        <s v="TX0512"/>
        <s v="TX0285"/>
        <s v="TX0691"/>
        <s v="TX0926"/>
        <s v="TX0168"/>
        <s v="TX0272"/>
        <s v="TX0024"/>
        <s v="TX0521"/>
        <s v="TX0560"/>
        <s v="TX0580"/>
        <s v="TX0302"/>
        <s v="TX0527"/>
        <s v="TX0702"/>
        <s v="TX0781"/>
        <s v="TX0374"/>
        <s v="TX0400"/>
        <s v="TX0556"/>
        <s v="TX0896"/>
        <s v="TX0038"/>
        <s v="TX0607"/>
        <s v="TX0847"/>
        <s v="TX0230"/>
        <s v="TX0685"/>
        <s v="TX0021"/>
        <s v="TX0172"/>
        <s v="TX0224"/>
        <s v="TX0748"/>
        <s v="TX0828"/>
        <s v="TX0851"/>
        <s v="TX0872"/>
        <s v="TX0405"/>
        <s v="TX0447"/>
        <s v="TX0920"/>
        <s v="TX0334"/>
        <s v="TX0976"/>
        <s v="TX0056"/>
        <s v="TX0906"/>
        <s v="TX0258"/>
        <s v="TX0465"/>
        <s v="TX0932"/>
        <s v="TX0989"/>
        <s v="TX0111"/>
        <s v="TX0126"/>
        <s v="TX0532"/>
        <s v="TX0565"/>
        <s v="TX0354"/>
        <s v="TX0716"/>
        <s v="TX0915"/>
        <s v="TX0916"/>
        <s v="TX0523"/>
        <s v="TX0614"/>
        <s v="TX0428"/>
        <s v="TX0509"/>
        <s v="TX0678"/>
        <s v="TX0129"/>
        <s v="TX0591"/>
        <s v="TX0375"/>
        <s v="TX0485"/>
        <s v="TX0004"/>
        <s v="TX0071"/>
        <s v="TX0749"/>
        <s v="TX0449"/>
        <s v="TX0553"/>
        <s v="TX0759"/>
        <s v="TX0819"/>
        <s v="TX0155"/>
        <s v="TX0396"/>
        <s v="TX0816"/>
        <s v="TX0138"/>
        <s v="TX0566"/>
        <s v="TX0090"/>
        <s v="TX0393"/>
        <s v="TX0486"/>
        <s v="TX0609"/>
        <s v="TX0715"/>
        <s v="TX0182"/>
        <s v="TX0190"/>
        <s v="TX0368"/>
        <s v="TX0034"/>
        <s v="TX0394"/>
        <s v="TX0573"/>
        <s v="TX0941"/>
        <s v="TX0953"/>
        <s v="TX0072"/>
        <s v="TX0335"/>
        <s v="TX0575"/>
        <s v="TX0876"/>
        <s v="TX0164"/>
        <s v="TX0339"/>
        <s v="TX0574"/>
        <s v="TX0199"/>
        <s v="TX0679"/>
        <s v="TX0894"/>
        <s v="TX0558"/>
        <s v="TX0015"/>
        <s v="TX0482"/>
        <s v="TX0539"/>
        <s v="TX0589"/>
        <s v="TX0675"/>
        <s v="TX0771"/>
        <s v="TX0871"/>
        <s v="TX0275"/>
        <s v="TX0458"/>
        <s v="TX0925"/>
        <s v="TX0283"/>
        <s v="TX0764"/>
        <s v="TX0772"/>
        <s v="TX0025"/>
        <s v="TX0444"/>
        <s v="TX0456"/>
        <s v="TX0505"/>
        <s v="TX0613"/>
        <s v="TX0242"/>
        <s v="TX0271"/>
        <s v="TX0684"/>
        <s v="TX0854"/>
        <s v="TX0281"/>
        <s v="TX0330"/>
        <s v="TX0735"/>
        <s v="TX0156"/>
        <s v="TX0789"/>
        <s v="TX0838"/>
        <s v="TX0927"/>
        <s v="TX0599"/>
        <s v="TX0952"/>
        <s v="TX0733"/>
        <s v="TX0861"/>
        <s v="TX0917"/>
        <s v="TX0962"/>
        <s v="TX0177"/>
        <s v="TX0900"/>
        <s v="TX0483"/>
        <s v="TX0787"/>
        <s v="TX0793"/>
        <s v="TX0817"/>
        <s v="TX0617"/>
        <s v="TX0956"/>
        <s v="TX0830"/>
        <s v="TX0973"/>
        <s v="TX0028"/>
        <s v="TX0293"/>
        <s v="TX0397"/>
        <s v="TX0356"/>
        <s v="TX0488"/>
        <s v="TX0504"/>
        <s v="TX0827"/>
        <s v="TX0966"/>
        <s v="TX0205"/>
        <s v="TX0274"/>
        <s v="TX0377"/>
        <s v="TX0664"/>
        <s v="TX0692"/>
        <s v="TX0099"/>
        <s v="TX0612"/>
        <s v="TX0697"/>
        <s v="TX0853"/>
        <s v="TX0031"/>
        <s v="TX0131"/>
        <s v="TX0231"/>
        <s v="TX0489"/>
        <s v="TX0570"/>
        <s v="TX0739"/>
        <s v="TX0769"/>
        <s v="TX0113"/>
        <s v="TX0909"/>
        <s v="TX0984"/>
        <s v="TX0033"/>
        <s v="TX0568"/>
        <s v="TX0887"/>
        <s v="TX0378"/>
        <s v="TX0380"/>
        <s v="TX0526"/>
        <s v="TX0901"/>
        <s v="TX0913"/>
        <s v="TX0919"/>
        <s v="TX0960"/>
        <s v="TX0478"/>
        <s v="TX0698"/>
        <s v="TX0549"/>
        <s v="TX0728"/>
        <s v="TX0398"/>
        <s v="TX0744"/>
        <s v="TX1000"/>
        <s v="TX0185"/>
        <s v="TX0225"/>
        <s v="TX0615"/>
        <s v="TX0710"/>
        <s v="TX0763"/>
        <s v="TX0079"/>
        <s v="TX0120"/>
        <s v="TX0151"/>
        <s v="TX0171"/>
        <s v="TX0364"/>
        <s v="TX0124"/>
        <s v="TX0637"/>
        <s v="TX0747"/>
        <s v="TX0102"/>
        <s v="TX0135"/>
        <s v="TX0286"/>
        <s v="TX0892"/>
        <s v="TX0009"/>
        <s v="TX0206"/>
        <s v="TX0277"/>
        <s v="TX0411"/>
        <s v="TX0867"/>
        <s v="TX0245"/>
        <s v="TX0588"/>
        <s v="TX0974"/>
        <s v="TX0098"/>
        <s v="TX0209"/>
        <s v="TX0629"/>
        <s v="TX0800"/>
        <s v="TX0051"/>
        <s v="TX0223"/>
        <s v="TX0448"/>
        <s v="TX0587"/>
        <s v="TX0904"/>
        <s v="TX0359"/>
        <s v="TX0653"/>
        <s v="TX0699"/>
        <s v="TX0768"/>
        <s v="TX0820"/>
        <s v="TX0292"/>
        <s v="TX0367"/>
        <s v="TX0826"/>
        <s v="TX0462"/>
        <s v="TX0545"/>
        <s v="TX0694"/>
        <s v="TX0991"/>
        <s v="TX0201"/>
        <s v="TX0311"/>
        <s v="TX0094"/>
        <s v="TX0103"/>
        <s v="TX0288"/>
        <s v="TX0216"/>
        <s v="TX0910"/>
        <s v="TX0063"/>
        <s v="TX0166"/>
        <s v="TX0310"/>
        <s v="TX0535"/>
        <s v="TX0577"/>
        <s v="TX0874"/>
        <s v="TX0947"/>
        <s v="TX0318"/>
        <s v="TX0776"/>
        <s v="TX0369"/>
        <s v="TX0808"/>
        <s v="TX0870"/>
        <s v="TX0073"/>
        <s v="TX0093"/>
        <s v="TX0251"/>
        <s v="TX0270"/>
        <s v="TX0850"/>
        <s v="TX0246"/>
        <s v="TX0433"/>
        <s v="TX0143"/>
        <s v="TX0929"/>
        <s v="TX0618"/>
        <s v="TX0746"/>
        <s v="TX0785"/>
        <s v="TX0993"/>
        <s v="TX0473"/>
        <s v="TX0110"/>
        <s v="TX0269"/>
        <s v="TX0319"/>
        <s v="TX0442"/>
        <s v="TX0855"/>
        <s v="TX0408"/>
        <s v="TX0522"/>
        <s v="TX0997"/>
        <s v="TX0725"/>
        <s v="TX0805"/>
        <s v="TX0196"/>
        <s v="TX0366"/>
        <s v="TX0569"/>
        <s v="TX0641"/>
        <s v="TX0823"/>
        <s v="TX0139"/>
        <s v="TX0423"/>
        <s v="TX0652"/>
        <s v="TX0092"/>
        <s v="TX0045"/>
        <s v="TX0586"/>
        <s v="TX0770"/>
        <s v="TX0813"/>
        <s v="TX0955"/>
        <s v="TX0392"/>
        <s v="TX0036"/>
        <s v="TX0252"/>
        <s v="TX0234"/>
        <s v="TX0985"/>
        <s v="TX0059"/>
        <s v="TX0416"/>
        <s v="TX0450"/>
        <s v="TX0555"/>
        <s v="TX0116"/>
        <s v="TX0706"/>
        <s v="TX0611"/>
        <s v="TX0112"/>
        <s v="TX0114"/>
        <s v="TX0331"/>
        <s v="TX0517"/>
        <s v="TX0229"/>
        <s v="TX0755"/>
        <s v="TX0085"/>
        <s v="TX0193"/>
        <s v="TX0320"/>
        <s v="TX0342"/>
        <s v="TX0696"/>
        <s v="TX0860"/>
        <s v="TX0774"/>
        <s v="TX0945"/>
        <s v="TX0249"/>
        <s v="TX0454"/>
        <s v="TX0670"/>
        <s v="TX0844"/>
        <s v="TX0982"/>
        <s v="TX0265"/>
        <s v="TX0780"/>
        <s v="TX0908"/>
        <s v="TX0255"/>
        <s v="TX0316"/>
        <s v="TX0799"/>
        <s v="TX0475"/>
        <s v="TX0343"/>
        <s v="TX0630"/>
        <s v="TX0907"/>
        <s v="TX0087"/>
        <s v="TX0296"/>
        <s v="TX0533"/>
        <s v="TX0899"/>
        <s v="TX0243"/>
        <s v="TX0305"/>
        <s v="TX0352"/>
        <s v="TX0362"/>
        <s v="TX0540"/>
        <s v="TX0707"/>
        <s v="TX0891"/>
        <s v="TX0008"/>
        <s v="TX0074"/>
        <s v="TX0514"/>
        <s v="TX0656"/>
        <s v="TX0075"/>
        <s v="TX0137"/>
        <s v="TX0665"/>
        <s v="TX0676"/>
        <s v="TX0289"/>
        <s v="TX0951"/>
        <s v="TX0695"/>
        <s v="TX0062"/>
        <s v="TX0173"/>
        <s v="TX0561"/>
        <s v="TX0371"/>
        <s v="TX0693"/>
        <s v="TX0954"/>
        <s v="TX0084"/>
        <s v="TX0208"/>
        <s v="TX0333"/>
        <s v="TX0469"/>
        <s v="TX0546"/>
        <s v="TX0671"/>
        <s v="TX0740"/>
        <s v="TX0988"/>
        <s v="TX0548"/>
        <s v="TX0756"/>
        <s v="TX0682"/>
        <s v="TX0818"/>
        <s v="TX0821"/>
        <s v="TX0957"/>
        <s v="TX0197"/>
        <s v="TX0825"/>
        <s v="TX0959"/>
        <s v="TX0119"/>
        <s v="TX0642"/>
        <s v="TX0077"/>
        <s v="TX0300"/>
        <s v="TX0402"/>
        <s v="TX0543"/>
        <s v="TX0761"/>
        <s v="TX0791"/>
        <s v="TX0885"/>
        <s v="TX0081"/>
        <s v="TX0198"/>
        <s v="TX0238"/>
        <s v="TX0436"/>
        <s v="TX0529"/>
        <s v="TX0798"/>
        <s v="TX0399"/>
        <s v="TX0202"/>
        <s v="TX0134"/>
        <s v="TX0345"/>
        <s v="TX0484"/>
        <s v="TX0550"/>
        <s v="TX0414"/>
        <s v="TX0060"/>
        <s v="TX0145"/>
        <s v="TX0176"/>
        <s v="TX0567"/>
        <s v="TX0766"/>
        <s v="TX0889"/>
        <s v="TX0053"/>
        <s v="TX0253"/>
        <s v="TX0381"/>
        <s v="TX0531"/>
        <s v="TX0266"/>
        <s v="TX0729"/>
        <s v="TX0301"/>
        <s v="TX0365"/>
        <s v="TX0621"/>
        <s v="TX0623"/>
        <s v="TX0387"/>
        <s v="TX0518"/>
        <s v="TX0938"/>
        <s v="TX0142"/>
        <s v="TX0157"/>
        <s v="TX0346"/>
        <s v="TX0879"/>
        <s v="TX0228"/>
        <s v="TX0370"/>
        <s v="TX0528"/>
        <s v="TX0148"/>
        <s v="TX0361"/>
        <s v="TX0530"/>
        <s v="TX0457"/>
        <s v="TX0576"/>
        <s v="TX0432"/>
        <s v="TX0027"/>
        <s v="TX0758"/>
        <s v="TX0848"/>
        <s v="TX0857"/>
        <s v="TX0161"/>
        <s v="TX0184"/>
        <s v="TX0571"/>
        <s v="TX0581"/>
        <s v="TX0873"/>
        <s v="TX0180"/>
        <s v="TX0207"/>
        <s v="TX0415"/>
        <s v="TX0424"/>
        <s v="TX0963"/>
        <s v="TX0213"/>
        <s v="TX0340"/>
        <s v="TX0390"/>
        <s v="TX0840"/>
        <s v="TX0299"/>
        <s v="TX0317"/>
        <s v="TX0741"/>
        <s v="TX0990"/>
        <s v="TX0188"/>
        <s v="TX0314"/>
        <s v="TX0389"/>
        <s v="TX0673"/>
        <s v="TX0980"/>
        <s v="TX0047"/>
        <s v="TX0260"/>
        <s v="TX0619"/>
        <s v="TX0812"/>
        <s v="TX0187"/>
        <s v="TX0722"/>
        <s v="TX0106"/>
        <s v="TX0467"/>
        <s v="TX0831"/>
        <s v="TX0066"/>
        <s v="TX0107"/>
        <s v="TX0167"/>
        <s v="TX0262"/>
        <s v="TX0268"/>
        <s v="TX0430"/>
        <s v="TX0016"/>
        <s v="TX0144"/>
        <s v="TX0506"/>
        <s v="TX0635"/>
        <s v="TX0996"/>
        <s v="TX0476"/>
        <s v="TX0590"/>
        <s v="TX0713"/>
        <s v="TX0731"/>
        <s v="TX0078"/>
        <s v="TX0020"/>
        <s v="TX0065"/>
        <s v="TX0391"/>
        <s v="TX0967"/>
        <s v="TX0616"/>
        <s v="TX0628"/>
        <s v="TX0944"/>
        <s v="TX0118"/>
        <s v="TX0357"/>
        <s v="TX0435"/>
        <s v="TX0437"/>
        <s v="TX0657"/>
        <s v="TX0700"/>
        <s v="TX0935"/>
        <s v="TX0987"/>
        <s v="TX0869"/>
        <s v="TX0474"/>
        <s v="TX0986"/>
        <s v="TX0152"/>
        <s v="TX0332"/>
        <s v="TX0537"/>
        <s v="TX0068"/>
        <s v="TX0884"/>
        <s v="TX0385"/>
        <s v="TX0122"/>
        <s v="TX0443"/>
        <s v="TX0584"/>
        <s v="TX0622"/>
        <s v="TX0632"/>
        <s v="TX0042"/>
        <s v="TX0420"/>
        <s v="TX0480"/>
        <s v="TX0552"/>
        <s v="TX0329"/>
        <s v="TX0383"/>
        <s v="TX0388"/>
        <s v="TX0461"/>
        <s v="TX0032"/>
        <s v="TX0326"/>
        <s v="TX0481"/>
        <s v="TX0076"/>
        <s v="TX0210"/>
        <s v="TX0363"/>
        <s v="TX0648"/>
        <s v="TX0843"/>
        <s v="TX0284"/>
        <s v="TX0312"/>
        <s v="TX0650"/>
        <s v="TX0645"/>
        <s v="TX0902"/>
        <s v="TX0601"/>
        <s v="TX0922"/>
        <s v="TX0928"/>
        <s v="TX0080"/>
        <s v="TX0200"/>
        <s v="TX0631"/>
        <s v="TX0730"/>
        <s v="TX0413"/>
        <s v="TX0773"/>
        <s v="TX0846"/>
        <s v="TX0121"/>
        <s v="TX0259"/>
        <s v="TX0634"/>
        <s v="TX0688"/>
        <s v="TX0745"/>
        <s v="TX0282"/>
        <s v="TX0544"/>
        <s v="TX0742"/>
        <s v="TX0760"/>
        <s v="TX0856"/>
        <s v="TX0890"/>
        <s v="TX0005"/>
        <s v="TX0232"/>
        <s v="TX0494"/>
        <s v="TX0606"/>
        <s v="TX0965"/>
        <s v="TX0007"/>
        <s v="TX0655"/>
        <s v="TX0418"/>
        <s v="TX0035"/>
        <s v="TX0880"/>
        <s v="TX0911"/>
        <s v="TX0864"/>
        <s v="TX0979"/>
        <s v="TX0999"/>
        <s v="TX0158"/>
        <s v="TX0557"/>
        <s v="TX0579"/>
        <s v="TX0784"/>
        <s v="TX0058"/>
        <s v="TX0067"/>
        <s v="TX0841"/>
        <s v="TX0720"/>
        <s v="TX0923"/>
        <s v="TX0218"/>
        <s v="TX0315"/>
        <s v="TX0669"/>
        <s v="TX0708"/>
        <s v="TX0765"/>
        <s v="TX0834"/>
        <s v="TX0640"/>
        <s v="TX0313"/>
        <s v="TX0948"/>
        <s v="TX0146"/>
        <s v="TX0306"/>
        <s v="TX0046"/>
        <s v="TX0186"/>
        <s v="TX0386"/>
        <s v="TX0407"/>
        <s v="TX0479"/>
        <s v="TX0732"/>
        <s v="TX0752"/>
        <s v="TX0777"/>
        <s v="TX0931"/>
        <s v="TX0427"/>
        <s v="TX0977"/>
        <s v="TX0434"/>
        <s v="TX0471"/>
        <s v="TX0491"/>
        <s v="TX0711"/>
        <s v="TX0881"/>
        <s v="TX0971"/>
        <s v="TX0263"/>
        <s v="TX0672"/>
        <s v="TX0803"/>
        <s v="TX0882"/>
        <s v="TX0083"/>
        <s v="TX0507"/>
        <s v="TX0633"/>
        <s v="TX0636"/>
        <s v="TX0937"/>
        <s v="TX0426"/>
        <s v="TX0687"/>
        <s v="TX0893"/>
        <s v="TX0849"/>
        <s v="TX0204"/>
        <s v="TX0095"/>
        <s v="TX0490"/>
        <s v="TX0572"/>
        <s v="TX0049"/>
        <s v="TX0626"/>
        <s v="TX0921"/>
        <s v="TX0115"/>
        <s v="TX0219"/>
        <s v="TX0446"/>
        <s v="TX0811"/>
        <s v="TX0013"/>
        <s v="TX0125"/>
        <s v="TX0625"/>
        <s v="TX0030"/>
        <s v="TX0070"/>
        <s v="TX0174"/>
        <s v="TX0701"/>
        <s v="TX0790"/>
        <s v="TX0942"/>
        <s v="TX0006"/>
        <s v="TX0104"/>
        <s v="TX0674"/>
        <s v="TX0802"/>
        <s v="TX0159"/>
        <s v="TX0593"/>
        <s v="TX0654"/>
        <s v="TX0686"/>
        <s v="TX0875"/>
        <s v="TX0052"/>
        <s v="TX0459"/>
        <s v="TX0620"/>
        <s v="TX0651"/>
        <s v="TX0968"/>
        <s v="TX0309"/>
        <s v="TX0487"/>
        <s v="TX0108"/>
        <s v="TX0154"/>
        <s v="TX0189"/>
        <s v="TX0666"/>
        <s v="TX0097"/>
        <s v="TX0406"/>
        <s v="TX0683"/>
        <s v="TX0203"/>
        <s v="TX0943"/>
        <s v="TX0328"/>
        <s v="TX0466"/>
        <s v="TX0264"/>
        <s v="TX0384"/>
        <s v="TX0510"/>
        <s v="TX0524"/>
        <s v="TX0608"/>
        <s v="TX0022"/>
        <s v="TX0273"/>
        <s v="TX0322"/>
        <s v="TX0419"/>
        <s v="TX0832"/>
        <s v="TX0453"/>
        <s v="TX0582"/>
        <s v="TX0441"/>
        <s v="TX0603"/>
        <s v="TX0898"/>
        <s v="TX0240"/>
        <s v="TX0778"/>
        <s v="TX0239"/>
        <s v="TX0382"/>
        <s v="TX0395"/>
        <s v="TX0662"/>
        <s v="TX0829"/>
        <s v="TX0123"/>
        <s v="TX0194"/>
        <s v="TX0248"/>
        <s v="TX0719"/>
        <s v="TX0341"/>
        <s v="TX0779"/>
        <s v="TX0783"/>
        <s v="TX0037"/>
        <s v="TX0600"/>
        <s v="TX0624"/>
        <s v="TX0718"/>
        <s v="TX0824"/>
        <s v="TX0563"/>
        <s v="TX0627"/>
        <s v="TX0762"/>
        <s v="TX0183"/>
        <s v="TX0220"/>
        <s v="TX0559"/>
        <s v="TX0858"/>
        <s v="TX0723"/>
        <s v="TX0023"/>
        <s v="TX0325"/>
        <s v="TX0327"/>
        <s v="TX0792"/>
        <s v="TX0541"/>
        <s v="TX0100"/>
        <s v="TX0498"/>
        <s v="TX0724"/>
        <s v="TX0788"/>
        <s v="TX0934"/>
        <s v="TX0643"/>
        <s v="TX0865"/>
        <s v="TX0002"/>
        <s v="TX0520"/>
        <s v="TX0602"/>
        <s v="TX0012"/>
        <s v="TX0147"/>
        <s v="TX0195"/>
        <s v="TX0307"/>
        <s v="TX0422"/>
        <s v="TX0704"/>
        <s v="TX0886"/>
        <s v="TX0940"/>
        <s v="TX0981"/>
        <s v="TX0250"/>
        <s v="TX0321"/>
        <s v="TX0863"/>
        <s v="TX0658"/>
        <s v="TX0096"/>
        <s v="TX0141"/>
        <s v="TX0502"/>
        <s v="TX0595"/>
        <s v="TX0217"/>
        <s v="TX0222"/>
        <s v="TX0280"/>
        <s v="TX0814"/>
        <s v="TX0519"/>
        <s v="TX0294"/>
        <s v="TX0515"/>
        <s v="TX0547"/>
        <s v="TX0646"/>
        <s v="TX0714"/>
        <s v="TX0516"/>
        <s v="TX0930"/>
        <s v="TX0709"/>
        <s v="TX0344"/>
        <s v="TX0417"/>
        <s v="TX0500"/>
        <s v="TX0994"/>
        <s v="TX0127"/>
        <s v="TX0349"/>
        <s v="TX0492"/>
        <s v="TX0647"/>
        <s v="TX0661"/>
        <s v="TX0895"/>
        <s v="TX0964"/>
        <s v="TX0061"/>
        <s v="TX0153"/>
        <s v="TX0247"/>
        <s v="TX0379"/>
        <s v="TX0477"/>
        <s v="TX0538"/>
        <s v="TX0039"/>
        <s v="TX0165"/>
        <s v="TX0276"/>
        <s v="TX0130"/>
        <s v="TX0237"/>
        <s v="TX0452"/>
        <s v="TX0254"/>
        <s v="TX0721"/>
        <s v="TX0018"/>
        <s v="TX0298"/>
        <s v="TX0734"/>
        <s v="TX0109"/>
        <s v="TX0337"/>
        <s v="TX0525"/>
        <s v="TX0409"/>
        <s v="TX0445"/>
        <s v="TX0659"/>
        <s v="TX0668"/>
        <s v="TX0050"/>
        <s v="TX0644"/>
        <s v="TX0054"/>
        <s v="TX0736"/>
        <s v="TX0017"/>
        <s v="TX0464"/>
        <s v="TX0503"/>
        <s v="TX0680"/>
        <s v="TX0044"/>
        <s v="TX0178"/>
        <s v="TX0511"/>
        <s v="TX0868"/>
        <s v="TX0972"/>
        <s v="TX0257"/>
        <s v="TX0267"/>
        <s v="TX0421"/>
        <s v="TX0048"/>
        <s v="TX0101"/>
        <s v="TX0236"/>
        <s v="TX0663"/>
        <s v="TX0795"/>
        <s v="TX0782"/>
        <s v="TX0011"/>
        <s v="TX0149"/>
        <s v="TX0451"/>
        <s v="TX0592"/>
        <s v="TX0775"/>
        <s v="TX0797"/>
        <s v="TX0069"/>
        <s v="TX0192"/>
        <s v="TX0338"/>
        <s v="TX0463"/>
        <s v="TX0712"/>
        <s v="TX0862"/>
        <s v="TX0852"/>
        <s v="TX0859"/>
        <s v="TX0290"/>
        <s v="TX0726"/>
        <s v="TX0727"/>
        <s v="TX0351"/>
        <s v="TX0717"/>
        <s v="TX0003"/>
        <s v="TX0040"/>
        <s v="TX0460"/>
        <s v="TX0350"/>
        <s v="TX0513"/>
        <s v="TX0136"/>
        <s v="TX0169"/>
        <s v="TX0001"/>
        <s v="TX0551"/>
        <s v="TX0279"/>
        <s v="TX0324"/>
        <s v="TX0241"/>
        <s v="TX0497"/>
        <s v="TX0496"/>
        <s v="TX0806"/>
        <s v="TX0845"/>
        <s v="TX0810"/>
        <s v="TX0877"/>
        <s v="TX0212"/>
        <s v="TX0638"/>
        <s v="TX0983"/>
        <s v="TX0878"/>
        <s v="TX0160"/>
        <s v="TX0086"/>
        <s v="TX0598"/>
        <s v="TX0681"/>
      </sharedItems>
    </cacheField>
    <cacheField name="Date" numFmtId="177">
      <sharedItems containsSemiMixedTypes="0" containsString="0" containsNonDate="0" containsDate="1" minDate="2025-01-01T00:00:00" maxDate="2025-12-31T00:00:00" count="341">
        <d v="2025-12-31T00:00:00"/>
        <d v="2025-12-30T00:00:00"/>
        <d v="2025-12-29T00:00:00"/>
        <d v="2025-12-28T00:00:00"/>
        <d v="2025-12-27T00:00:00"/>
        <d v="2025-12-26T00:00:00"/>
        <d v="2025-12-25T00:00:00"/>
        <d v="2025-12-24T00:00:00"/>
        <d v="2025-12-23T00:00:00"/>
        <d v="2025-12-22T00:00:00"/>
        <d v="2025-12-20T00:00:00"/>
        <d v="2025-12-19T00:00:00"/>
        <d v="2025-12-18T00:00:00"/>
        <d v="2025-12-17T00:00:00"/>
        <d v="2025-12-16T00:00:00"/>
        <d v="2025-12-15T00:00:00"/>
        <d v="2025-12-14T00:00:00"/>
        <d v="2025-12-13T00:00:00"/>
        <d v="2025-12-12T00:00:00"/>
        <d v="2025-12-11T00:00:00"/>
        <d v="2025-12-10T00:00:00"/>
        <d v="2025-12-09T00:00:00"/>
        <d v="2025-12-08T00:00:00"/>
        <d v="2025-12-07T00:00:00"/>
        <d v="2025-12-06T00:00:00"/>
        <d v="2025-12-05T00:00:00"/>
        <d v="2025-12-04T00:00:00"/>
        <d v="2025-12-03T00:00:00"/>
        <d v="2025-12-02T00:00:00"/>
        <d v="2025-12-01T00:00:00"/>
        <d v="2025-11-30T00:00:00"/>
        <d v="2025-11-29T00:00:00"/>
        <d v="2025-11-28T00:00:00"/>
        <d v="2025-11-27T00:00:00"/>
        <d v="2025-11-26T00:00:00"/>
        <d v="2025-11-25T00:00:00"/>
        <d v="2025-11-24T00:00:00"/>
        <d v="2025-11-23T00:00:00"/>
        <d v="2025-11-22T00:00:00"/>
        <d v="2025-11-20T00:00:00"/>
        <d v="2025-11-19T00:00:00"/>
        <d v="2025-11-18T00:00:00"/>
        <d v="2025-11-17T00:00:00"/>
        <d v="2025-11-15T00:00:00"/>
        <d v="2025-11-14T00:00:00"/>
        <d v="2025-11-12T00:00:00"/>
        <d v="2025-11-11T00:00:00"/>
        <d v="2025-11-10T00:00:00"/>
        <d v="2025-11-09T00:00:00"/>
        <d v="2025-11-08T00:00:00"/>
        <d v="2025-11-07T00:00:00"/>
        <d v="2025-11-06T00:00:00"/>
        <d v="2025-11-05T00:00:00"/>
        <d v="2025-11-03T00:00:00"/>
        <d v="2025-11-02T00:00:00"/>
        <d v="2025-11-01T00:00:00"/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1T00:00:00"/>
        <d v="2025-10-10T00:00:00"/>
        <d v="2025-10-09T00:00:00"/>
        <d v="2025-10-07T00:00:00"/>
        <d v="2025-10-06T00:00:00"/>
        <d v="2025-10-05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3T00:00:00"/>
        <d v="2025-09-22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9T00:00:00"/>
        <d v="2025-09-08T00:00:00"/>
        <d v="2025-09-07T00:00:00"/>
        <d v="2025-09-06T00:00:00"/>
        <d v="2025-09-05T00:00:00"/>
        <d v="2025-09-04T00:00:00"/>
        <d v="2025-09-03T00:00:00"/>
        <d v="2025-09-01T00:00:00"/>
        <d v="2025-08-31T00:00:00"/>
        <d v="2025-08-30T00:00:00"/>
        <d v="2025-08-29T00:00:00"/>
        <d v="2025-08-28T00:00:00"/>
        <d v="2025-08-27T00:00:00"/>
        <d v="2025-08-26T00:00:00"/>
        <d v="2025-08-25T00:00:00"/>
        <d v="2025-08-24T00:00:00"/>
        <d v="2025-08-23T00:00:00"/>
        <d v="2025-08-22T00:00:00"/>
        <d v="2025-08-21T00:00:00"/>
        <d v="2025-08-20T00:00:00"/>
        <d v="2025-08-19T00:00:00"/>
        <d v="2025-08-17T00:00:00"/>
        <d v="2025-08-16T00:00:00"/>
        <d v="2025-08-15T00:00:00"/>
        <d v="2025-08-14T00:00:00"/>
        <d v="2025-08-13T00:00:00"/>
        <d v="2025-08-12T00:00:00"/>
        <d v="2025-08-11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2T00:00:00"/>
        <d v="2025-08-01T00:00:00"/>
        <d v="2025-07-31T00:00:00"/>
        <d v="2025-07-30T00:00:00"/>
        <d v="2025-07-29T00:00:00"/>
        <d v="2025-07-28T00:00:00"/>
        <d v="2025-07-27T00:00:00"/>
        <d v="2025-07-26T00:00:00"/>
        <d v="2025-07-25T00:00:00"/>
        <d v="2025-07-24T00:00:00"/>
        <d v="2025-07-23T00:00:00"/>
        <d v="2025-07-22T00:00:00"/>
        <d v="2025-07-21T00:00:00"/>
        <d v="2025-07-20T00:00:00"/>
        <d v="2025-07-19T00:00:00"/>
        <d v="2025-07-18T00:00:00"/>
        <d v="2025-07-17T00:00:00"/>
        <d v="2025-07-16T00:00:00"/>
        <d v="2025-07-15T00:00:00"/>
        <d v="2025-07-12T00:00:00"/>
        <d v="2025-07-10T00:00:00"/>
        <d v="2025-07-09T00:00:00"/>
        <d v="2025-07-08T00:00:00"/>
        <d v="2025-07-07T00:00:00"/>
        <d v="2025-07-06T00:00:00"/>
        <d v="2025-07-05T00:00:00"/>
        <d v="2025-07-04T00:00:00"/>
        <d v="2025-07-03T00:00:00"/>
        <d v="2025-07-02T00:00:00"/>
        <d v="2025-07-01T00:00:00"/>
        <d v="2025-06-30T00:00:00"/>
        <d v="2025-06-29T00:00:00"/>
        <d v="2025-06-28T00:00:00"/>
        <d v="2025-06-27T00:00:00"/>
        <d v="2025-06-26T00:00:00"/>
        <d v="2025-06-25T00:00:00"/>
        <d v="2025-06-24T00:00:00"/>
        <d v="2025-06-23T00:00:00"/>
        <d v="2025-06-22T00:00:00"/>
        <d v="2025-06-21T00:00:00"/>
        <d v="2025-06-20T00:00:00"/>
        <d v="2025-06-19T00:00:00"/>
        <d v="2025-06-18T00:00:00"/>
        <d v="2025-06-17T00:00:00"/>
        <d v="2025-06-16T00:00:00"/>
        <d v="2025-06-15T00:00:00"/>
        <d v="2025-06-14T00:00:00"/>
        <d v="2025-06-13T00:00:00"/>
        <d v="2025-06-12T00:00:00"/>
        <d v="2025-06-11T00:00:00"/>
        <d v="2025-06-10T00:00:00"/>
        <d v="2025-06-09T00:00:00"/>
        <d v="2025-06-08T00:00:00"/>
        <d v="2025-06-07T00:00:00"/>
        <d v="2025-06-06T00:00:00"/>
        <d v="2025-06-05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7T00:00:00"/>
        <d v="2025-05-26T00:00:00"/>
        <d v="2025-05-25T00:00:00"/>
        <d v="2025-05-24T00:00:00"/>
        <d v="2025-05-23T00:00:00"/>
        <d v="2025-05-22T00:00:00"/>
        <d v="2025-05-21T00:00:00"/>
        <d v="2025-05-20T00:00:00"/>
        <d v="2025-05-19T00:00:00"/>
        <d v="2025-05-18T00:00:00"/>
        <d v="2025-05-17T00:00:00"/>
        <d v="2025-05-16T00:00:00"/>
        <d v="2025-05-15T00:00:00"/>
        <d v="2025-05-14T00:00:00"/>
        <d v="2025-05-13T00:00:00"/>
        <d v="2025-05-11T00:00:00"/>
        <d v="2025-05-10T00:00:00"/>
        <d v="2025-05-09T00:00:00"/>
        <d v="2025-05-08T00:00:00"/>
        <d v="2025-05-07T00:00:00"/>
        <d v="2025-05-06T00:00:00"/>
        <d v="2025-05-05T00:00:00"/>
        <d v="2025-05-04T00:00:00"/>
        <d v="2025-05-03T00:00:00"/>
        <d v="2025-05-02T00:00:00"/>
        <d v="2025-05-01T00:00:00"/>
        <d v="2025-04-30T00:00:00"/>
        <d v="2025-04-29T00:00:00"/>
        <d v="2025-04-28T00:00:00"/>
        <d v="2025-04-27T00:00:00"/>
        <d v="2025-04-26T00:00:00"/>
        <d v="2025-04-25T00:00:00"/>
        <d v="2025-04-24T00:00:00"/>
        <d v="2025-04-23T00:00:00"/>
        <d v="2025-04-22T00:00:00"/>
        <d v="2025-04-21T00:00:00"/>
        <d v="2025-04-20T00:00:00"/>
        <d v="2025-04-19T00:00:00"/>
        <d v="2025-04-18T00:00:00"/>
        <d v="2025-04-17T00:00:00"/>
        <d v="2025-04-16T00:00:00"/>
        <d v="2025-04-15T00:00:00"/>
        <d v="2025-04-14T00:00:00"/>
        <d v="2025-04-13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2T00:00:00"/>
        <d v="2025-03-31T00:00:00"/>
        <d v="2025-03-30T00:00:00"/>
        <d v="2025-03-29T00:00:00"/>
        <d v="2025-03-28T00:00:00"/>
        <d v="2025-03-27T00:00:00"/>
        <d v="2025-03-26T00:00:00"/>
        <d v="2025-03-25T00:00:00"/>
        <d v="2025-03-24T00:00:00"/>
        <d v="2025-03-23T00:00:00"/>
        <d v="2025-03-22T00:00:00"/>
        <d v="2025-03-21T00:00:00"/>
        <d v="2025-03-20T00:00:00"/>
        <d v="2025-03-19T00:00:00"/>
        <d v="2025-03-18T00:00:00"/>
        <d v="2025-03-17T00:00:00"/>
        <d v="2025-03-16T00:00:00"/>
        <d v="2025-03-15T00:00:00"/>
        <d v="2025-03-14T00:00:00"/>
        <d v="2025-03-13T00:00:00"/>
        <d v="2025-03-12T00:00:00"/>
        <d v="2025-03-11T00:00:00"/>
        <d v="2025-03-10T00:00:00"/>
        <d v="2025-03-09T00:00:00"/>
        <d v="2025-03-08T00:00:00"/>
        <d v="2025-03-07T00:00:00"/>
        <d v="2025-03-06T00:00:00"/>
        <d v="2025-03-05T00:00:00"/>
        <d v="2025-03-03T00:00:00"/>
        <d v="2025-03-02T00:00:00"/>
        <d v="2025-02-28T00:00:00"/>
        <d v="2025-02-27T00:00:00"/>
        <d v="2025-02-26T00:00:00"/>
        <d v="2025-02-25T00:00:00"/>
        <d v="2025-02-24T00:00:00"/>
        <d v="2025-02-23T00:00:00"/>
        <d v="2025-02-22T00:00:00"/>
        <d v="2025-02-21T00:00:00"/>
        <d v="2025-02-20T00:00:00"/>
        <d v="2025-02-19T00:00:00"/>
        <d v="2025-02-18T00:00:00"/>
        <d v="2025-02-17T00:00:00"/>
        <d v="2025-02-16T00:00:00"/>
        <d v="2025-02-15T00:00:00"/>
        <d v="2025-02-14T00:00:00"/>
        <d v="2025-02-13T00:00:00"/>
        <d v="2025-02-12T00:00:00"/>
        <d v="2025-02-11T00:00:00"/>
        <d v="2025-02-10T00:00:00"/>
        <d v="2025-02-08T00:00:00"/>
        <d v="2025-02-07T00:00:00"/>
        <d v="2025-02-06T00:00:00"/>
        <d v="2025-02-05T00:00:00"/>
        <d v="2025-02-04T00:00:00"/>
        <d v="2025-02-03T00:00:00"/>
        <d v="2025-02-02T00:00:00"/>
        <d v="2025-02-01T00:00:00"/>
        <d v="2025-01-31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3T00:00:00"/>
        <d v="2025-01-21T00:00:00"/>
        <d v="2025-01-20T00:00:00"/>
        <d v="2025-01-18T00:00:00"/>
        <d v="2025-01-17T00:00:00"/>
        <d v="2025-01-16T00:00:00"/>
        <d v="2025-01-15T00:00:00"/>
        <d v="2025-01-14T00:00:00"/>
        <d v="2025-01-13T00:00:00"/>
        <d v="2025-01-12T00:00:00"/>
        <d v="2025-01-11T00:00:00"/>
        <d v="2025-01-10T00:00:00"/>
        <d v="2025-01-09T00:00:00"/>
        <d v="2025-01-07T00:00:00"/>
        <d v="2025-01-06T00:00:00"/>
        <d v="2025-01-05T00:00:00"/>
        <d v="2025-01-03T00:00:00"/>
        <d v="2025-01-02T00:00:00"/>
        <d v="2025-01-01T00:00:00"/>
      </sharedItems>
    </cacheField>
    <cacheField name="Patient Type" numFmtId="0">
      <sharedItems count="3">
        <s v="Referral"/>
        <s v="Corporate"/>
        <s v="Walk-in"/>
      </sharedItems>
    </cacheField>
    <cacheField name="Branch" numFmtId="0">
      <sharedItems count="3">
        <s v="Main Branch"/>
        <s v="North Branch"/>
        <s v="City Branch"/>
      </sharedItems>
    </cacheField>
    <cacheField name="Test Category" numFmtId="0">
      <sharedItems count="4">
        <s v="Microbiology"/>
        <s v="Clinical Chemistry"/>
        <s v="Immunology"/>
        <s v="Haematology"/>
      </sharedItems>
    </cacheField>
    <cacheField name="Test Name" numFmtId="0">
      <sharedItems count="13">
        <s v="Stool Culture"/>
        <s v="Urinalysis"/>
        <s v="Kidney Function Test"/>
        <s v="Pregnancy Test"/>
        <s v="Blood Grouping"/>
        <s v="HIV Screening"/>
        <s v="Full Blood Count"/>
        <s v="Glucose Test"/>
        <s v="Hepatitis B Test"/>
        <s v="Liver Function Test"/>
        <s v="Malaria Test"/>
        <s v="Lipid Profile"/>
        <s v="ESR"/>
      </sharedItems>
    </cacheField>
    <cacheField name="Quantity" numFmtId="0"/>
    <cacheField name="Test Price" numFmtId="176"/>
    <cacheField name="Reagent Cost" numFmtId="176"/>
    <cacheField name="Revenue" numFmtId="176"/>
    <cacheField name="Payment  Method" numFmtId="0">
      <sharedItems count="3">
        <s v="Transfer"/>
        <s v="Cash"/>
        <s v="Card"/>
      </sharedItems>
    </cacheField>
    <cacheField name="Days (Date)" numFmtId="0" databaseField="0">
      <fieldGroup base="1">
        <rangePr groupBy="days" startDate="2025-01-01T00:00:00" endDate="2026-01-01T00:00:00" groupInterval="1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6"/>
        </groupItems>
      </fieldGroup>
    </cacheField>
    <cacheField name="Months (Date)" numFmtId="0" databaseField="0">
      <fieldGroup base="1">
        <rangePr groupBy="months" startDate="2025-01-01T00:00:00" endDate="2026-01-01T00:00:00" groupInterval="1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n v="1"/>
    <n v="6000"/>
    <n v="1800"/>
    <n v="6000"/>
    <x v="0"/>
  </r>
  <r>
    <x v="1"/>
    <x v="0"/>
    <x v="1"/>
    <x v="0"/>
    <x v="0"/>
    <x v="1"/>
    <n v="1"/>
    <n v="2500"/>
    <n v="600"/>
    <n v="2500"/>
    <x v="1"/>
  </r>
  <r>
    <x v="2"/>
    <x v="1"/>
    <x v="1"/>
    <x v="1"/>
    <x v="1"/>
    <x v="2"/>
    <n v="2"/>
    <n v="7500"/>
    <n v="4400"/>
    <n v="15000"/>
    <x v="0"/>
  </r>
  <r>
    <x v="3"/>
    <x v="1"/>
    <x v="1"/>
    <x v="2"/>
    <x v="2"/>
    <x v="3"/>
    <n v="1"/>
    <n v="3000"/>
    <n v="800"/>
    <n v="3000"/>
    <x v="0"/>
  </r>
  <r>
    <x v="4"/>
    <x v="1"/>
    <x v="2"/>
    <x v="1"/>
    <x v="3"/>
    <x v="4"/>
    <n v="1"/>
    <n v="3000"/>
    <n v="800"/>
    <n v="3000"/>
    <x v="2"/>
  </r>
  <r>
    <x v="5"/>
    <x v="2"/>
    <x v="2"/>
    <x v="1"/>
    <x v="2"/>
    <x v="5"/>
    <n v="2"/>
    <n v="4000"/>
    <n v="2000"/>
    <n v="8000"/>
    <x v="1"/>
  </r>
  <r>
    <x v="6"/>
    <x v="2"/>
    <x v="0"/>
    <x v="1"/>
    <x v="3"/>
    <x v="6"/>
    <n v="1"/>
    <n v="5000"/>
    <n v="1500"/>
    <n v="5000"/>
    <x v="2"/>
  </r>
  <r>
    <x v="7"/>
    <x v="2"/>
    <x v="1"/>
    <x v="1"/>
    <x v="0"/>
    <x v="1"/>
    <n v="2"/>
    <n v="2500"/>
    <n v="1200"/>
    <n v="5000"/>
    <x v="0"/>
  </r>
  <r>
    <x v="8"/>
    <x v="2"/>
    <x v="2"/>
    <x v="1"/>
    <x v="1"/>
    <x v="7"/>
    <n v="1"/>
    <n v="2500"/>
    <n v="500"/>
    <n v="2500"/>
    <x v="1"/>
  </r>
  <r>
    <x v="9"/>
    <x v="3"/>
    <x v="0"/>
    <x v="1"/>
    <x v="2"/>
    <x v="8"/>
    <n v="1"/>
    <n v="5000"/>
    <n v="1500"/>
    <n v="5000"/>
    <x v="2"/>
  </r>
  <r>
    <x v="10"/>
    <x v="4"/>
    <x v="2"/>
    <x v="1"/>
    <x v="3"/>
    <x v="6"/>
    <n v="1"/>
    <n v="5000"/>
    <n v="1500"/>
    <n v="5000"/>
    <x v="0"/>
  </r>
  <r>
    <x v="11"/>
    <x v="4"/>
    <x v="1"/>
    <x v="2"/>
    <x v="1"/>
    <x v="9"/>
    <n v="1"/>
    <n v="8000"/>
    <n v="2500"/>
    <n v="8000"/>
    <x v="0"/>
  </r>
  <r>
    <x v="12"/>
    <x v="5"/>
    <x v="1"/>
    <x v="2"/>
    <x v="2"/>
    <x v="5"/>
    <n v="1"/>
    <n v="4000"/>
    <n v="1000"/>
    <n v="4000"/>
    <x v="1"/>
  </r>
  <r>
    <x v="13"/>
    <x v="5"/>
    <x v="0"/>
    <x v="0"/>
    <x v="2"/>
    <x v="8"/>
    <n v="1"/>
    <n v="5000"/>
    <n v="1500"/>
    <n v="5000"/>
    <x v="2"/>
  </r>
  <r>
    <x v="14"/>
    <x v="5"/>
    <x v="2"/>
    <x v="0"/>
    <x v="2"/>
    <x v="5"/>
    <n v="1"/>
    <n v="4000"/>
    <n v="1000"/>
    <n v="4000"/>
    <x v="1"/>
  </r>
  <r>
    <x v="15"/>
    <x v="5"/>
    <x v="1"/>
    <x v="1"/>
    <x v="2"/>
    <x v="8"/>
    <n v="1"/>
    <n v="5000"/>
    <n v="1500"/>
    <n v="5000"/>
    <x v="2"/>
  </r>
  <r>
    <x v="16"/>
    <x v="5"/>
    <x v="2"/>
    <x v="0"/>
    <x v="0"/>
    <x v="1"/>
    <n v="1"/>
    <n v="2500"/>
    <n v="600"/>
    <n v="2500"/>
    <x v="1"/>
  </r>
  <r>
    <x v="17"/>
    <x v="5"/>
    <x v="1"/>
    <x v="1"/>
    <x v="2"/>
    <x v="8"/>
    <n v="1"/>
    <n v="5000"/>
    <n v="1500"/>
    <n v="5000"/>
    <x v="2"/>
  </r>
  <r>
    <x v="18"/>
    <x v="6"/>
    <x v="0"/>
    <x v="0"/>
    <x v="0"/>
    <x v="0"/>
    <n v="1"/>
    <n v="6000"/>
    <n v="1800"/>
    <n v="6000"/>
    <x v="2"/>
  </r>
  <r>
    <x v="19"/>
    <x v="6"/>
    <x v="2"/>
    <x v="1"/>
    <x v="1"/>
    <x v="2"/>
    <n v="1"/>
    <n v="7500"/>
    <n v="2200"/>
    <n v="7500"/>
    <x v="2"/>
  </r>
  <r>
    <x v="20"/>
    <x v="6"/>
    <x v="1"/>
    <x v="1"/>
    <x v="2"/>
    <x v="3"/>
    <n v="2"/>
    <n v="3000"/>
    <n v="1600"/>
    <n v="6000"/>
    <x v="0"/>
  </r>
  <r>
    <x v="21"/>
    <x v="7"/>
    <x v="2"/>
    <x v="2"/>
    <x v="1"/>
    <x v="9"/>
    <n v="1"/>
    <n v="8000"/>
    <n v="2500"/>
    <n v="8000"/>
    <x v="0"/>
  </r>
  <r>
    <x v="22"/>
    <x v="7"/>
    <x v="0"/>
    <x v="2"/>
    <x v="0"/>
    <x v="0"/>
    <n v="1"/>
    <n v="6000"/>
    <n v="1800"/>
    <n v="6000"/>
    <x v="1"/>
  </r>
  <r>
    <x v="23"/>
    <x v="8"/>
    <x v="0"/>
    <x v="2"/>
    <x v="1"/>
    <x v="7"/>
    <n v="1"/>
    <n v="2500"/>
    <n v="500"/>
    <n v="2500"/>
    <x v="2"/>
  </r>
  <r>
    <x v="24"/>
    <x v="8"/>
    <x v="0"/>
    <x v="2"/>
    <x v="2"/>
    <x v="3"/>
    <n v="2"/>
    <n v="3000"/>
    <n v="1600"/>
    <n v="6000"/>
    <x v="1"/>
  </r>
  <r>
    <x v="25"/>
    <x v="8"/>
    <x v="0"/>
    <x v="1"/>
    <x v="2"/>
    <x v="3"/>
    <n v="1"/>
    <n v="3000"/>
    <n v="800"/>
    <n v="3000"/>
    <x v="1"/>
  </r>
  <r>
    <x v="26"/>
    <x v="8"/>
    <x v="2"/>
    <x v="1"/>
    <x v="0"/>
    <x v="0"/>
    <n v="1"/>
    <n v="6000"/>
    <n v="1800"/>
    <n v="6000"/>
    <x v="2"/>
  </r>
  <r>
    <x v="27"/>
    <x v="9"/>
    <x v="0"/>
    <x v="0"/>
    <x v="0"/>
    <x v="0"/>
    <n v="1"/>
    <n v="6000"/>
    <n v="1800"/>
    <n v="6000"/>
    <x v="1"/>
  </r>
  <r>
    <x v="28"/>
    <x v="9"/>
    <x v="2"/>
    <x v="2"/>
    <x v="3"/>
    <x v="4"/>
    <n v="1"/>
    <n v="3000"/>
    <n v="800"/>
    <n v="3000"/>
    <x v="0"/>
  </r>
  <r>
    <x v="29"/>
    <x v="9"/>
    <x v="1"/>
    <x v="0"/>
    <x v="2"/>
    <x v="5"/>
    <n v="1"/>
    <n v="4000"/>
    <n v="1000"/>
    <n v="4000"/>
    <x v="2"/>
  </r>
  <r>
    <x v="30"/>
    <x v="9"/>
    <x v="0"/>
    <x v="1"/>
    <x v="0"/>
    <x v="1"/>
    <n v="1"/>
    <n v="2500"/>
    <n v="600"/>
    <n v="2500"/>
    <x v="2"/>
  </r>
  <r>
    <x v="31"/>
    <x v="10"/>
    <x v="0"/>
    <x v="1"/>
    <x v="1"/>
    <x v="2"/>
    <n v="1"/>
    <n v="7500"/>
    <n v="2200"/>
    <n v="7500"/>
    <x v="0"/>
  </r>
  <r>
    <x v="32"/>
    <x v="10"/>
    <x v="2"/>
    <x v="2"/>
    <x v="0"/>
    <x v="0"/>
    <n v="1"/>
    <n v="6000"/>
    <n v="1800"/>
    <n v="6000"/>
    <x v="0"/>
  </r>
  <r>
    <x v="33"/>
    <x v="11"/>
    <x v="1"/>
    <x v="0"/>
    <x v="0"/>
    <x v="0"/>
    <n v="1"/>
    <n v="6000"/>
    <n v="1800"/>
    <n v="6000"/>
    <x v="2"/>
  </r>
  <r>
    <x v="34"/>
    <x v="11"/>
    <x v="2"/>
    <x v="2"/>
    <x v="1"/>
    <x v="2"/>
    <n v="1"/>
    <n v="7500"/>
    <n v="2200"/>
    <n v="7500"/>
    <x v="0"/>
  </r>
  <r>
    <x v="35"/>
    <x v="11"/>
    <x v="0"/>
    <x v="0"/>
    <x v="1"/>
    <x v="2"/>
    <n v="1"/>
    <n v="7500"/>
    <n v="2200"/>
    <n v="7500"/>
    <x v="1"/>
  </r>
  <r>
    <x v="36"/>
    <x v="11"/>
    <x v="2"/>
    <x v="0"/>
    <x v="0"/>
    <x v="10"/>
    <n v="1"/>
    <n v="3000"/>
    <n v="700"/>
    <n v="3000"/>
    <x v="2"/>
  </r>
  <r>
    <x v="37"/>
    <x v="12"/>
    <x v="0"/>
    <x v="2"/>
    <x v="1"/>
    <x v="9"/>
    <n v="1"/>
    <n v="8000"/>
    <n v="2500"/>
    <n v="8000"/>
    <x v="2"/>
  </r>
  <r>
    <x v="38"/>
    <x v="12"/>
    <x v="1"/>
    <x v="2"/>
    <x v="3"/>
    <x v="4"/>
    <n v="2"/>
    <n v="3000"/>
    <n v="1600"/>
    <n v="6000"/>
    <x v="0"/>
  </r>
  <r>
    <x v="39"/>
    <x v="12"/>
    <x v="1"/>
    <x v="2"/>
    <x v="1"/>
    <x v="2"/>
    <n v="1"/>
    <n v="7500"/>
    <n v="2200"/>
    <n v="7500"/>
    <x v="1"/>
  </r>
  <r>
    <x v="40"/>
    <x v="13"/>
    <x v="2"/>
    <x v="1"/>
    <x v="1"/>
    <x v="11"/>
    <n v="1"/>
    <n v="7000"/>
    <n v="2000"/>
    <n v="7000"/>
    <x v="1"/>
  </r>
  <r>
    <x v="41"/>
    <x v="13"/>
    <x v="1"/>
    <x v="0"/>
    <x v="0"/>
    <x v="0"/>
    <n v="1"/>
    <n v="6000"/>
    <n v="1800"/>
    <n v="6000"/>
    <x v="0"/>
  </r>
  <r>
    <x v="42"/>
    <x v="14"/>
    <x v="1"/>
    <x v="1"/>
    <x v="2"/>
    <x v="5"/>
    <n v="1"/>
    <n v="4000"/>
    <n v="1000"/>
    <n v="4000"/>
    <x v="2"/>
  </r>
  <r>
    <x v="43"/>
    <x v="14"/>
    <x v="1"/>
    <x v="0"/>
    <x v="0"/>
    <x v="0"/>
    <n v="1"/>
    <n v="6000"/>
    <n v="1800"/>
    <n v="6000"/>
    <x v="2"/>
  </r>
  <r>
    <x v="44"/>
    <x v="15"/>
    <x v="0"/>
    <x v="0"/>
    <x v="1"/>
    <x v="9"/>
    <n v="1"/>
    <n v="8000"/>
    <n v="2500"/>
    <n v="8000"/>
    <x v="0"/>
  </r>
  <r>
    <x v="45"/>
    <x v="16"/>
    <x v="1"/>
    <x v="1"/>
    <x v="1"/>
    <x v="9"/>
    <n v="2"/>
    <n v="8000"/>
    <n v="5000"/>
    <n v="16000"/>
    <x v="1"/>
  </r>
  <r>
    <x v="46"/>
    <x v="16"/>
    <x v="1"/>
    <x v="0"/>
    <x v="1"/>
    <x v="2"/>
    <n v="1"/>
    <n v="7500"/>
    <n v="2200"/>
    <n v="7500"/>
    <x v="2"/>
  </r>
  <r>
    <x v="47"/>
    <x v="16"/>
    <x v="0"/>
    <x v="1"/>
    <x v="0"/>
    <x v="0"/>
    <n v="1"/>
    <n v="6000"/>
    <n v="1800"/>
    <n v="6000"/>
    <x v="0"/>
  </r>
  <r>
    <x v="48"/>
    <x v="17"/>
    <x v="1"/>
    <x v="0"/>
    <x v="2"/>
    <x v="5"/>
    <n v="2"/>
    <n v="4000"/>
    <n v="2000"/>
    <n v="8000"/>
    <x v="2"/>
  </r>
  <r>
    <x v="49"/>
    <x v="17"/>
    <x v="1"/>
    <x v="2"/>
    <x v="2"/>
    <x v="3"/>
    <n v="1"/>
    <n v="3000"/>
    <n v="800"/>
    <n v="3000"/>
    <x v="0"/>
  </r>
  <r>
    <x v="50"/>
    <x v="17"/>
    <x v="0"/>
    <x v="1"/>
    <x v="1"/>
    <x v="11"/>
    <n v="1"/>
    <n v="7000"/>
    <n v="2000"/>
    <n v="7000"/>
    <x v="2"/>
  </r>
  <r>
    <x v="51"/>
    <x v="17"/>
    <x v="1"/>
    <x v="0"/>
    <x v="1"/>
    <x v="2"/>
    <n v="1"/>
    <n v="7500"/>
    <n v="2200"/>
    <n v="7500"/>
    <x v="0"/>
  </r>
  <r>
    <x v="52"/>
    <x v="18"/>
    <x v="2"/>
    <x v="1"/>
    <x v="3"/>
    <x v="12"/>
    <n v="1"/>
    <n v="2500"/>
    <n v="700"/>
    <n v="2500"/>
    <x v="1"/>
  </r>
  <r>
    <x v="53"/>
    <x v="18"/>
    <x v="1"/>
    <x v="2"/>
    <x v="0"/>
    <x v="10"/>
    <n v="2"/>
    <n v="3000"/>
    <n v="1400"/>
    <n v="6000"/>
    <x v="0"/>
  </r>
  <r>
    <x v="54"/>
    <x v="19"/>
    <x v="0"/>
    <x v="2"/>
    <x v="0"/>
    <x v="0"/>
    <n v="1"/>
    <n v="6000"/>
    <n v="1800"/>
    <n v="6000"/>
    <x v="1"/>
  </r>
  <r>
    <x v="55"/>
    <x v="19"/>
    <x v="0"/>
    <x v="0"/>
    <x v="2"/>
    <x v="3"/>
    <n v="2"/>
    <n v="3000"/>
    <n v="1600"/>
    <n v="6000"/>
    <x v="2"/>
  </r>
  <r>
    <x v="56"/>
    <x v="19"/>
    <x v="2"/>
    <x v="2"/>
    <x v="1"/>
    <x v="11"/>
    <n v="1"/>
    <n v="7000"/>
    <n v="2000"/>
    <n v="7000"/>
    <x v="2"/>
  </r>
  <r>
    <x v="57"/>
    <x v="20"/>
    <x v="2"/>
    <x v="1"/>
    <x v="0"/>
    <x v="0"/>
    <n v="1"/>
    <n v="6000"/>
    <n v="1800"/>
    <n v="6000"/>
    <x v="0"/>
  </r>
  <r>
    <x v="58"/>
    <x v="20"/>
    <x v="0"/>
    <x v="2"/>
    <x v="2"/>
    <x v="5"/>
    <n v="2"/>
    <n v="4000"/>
    <n v="2000"/>
    <n v="8000"/>
    <x v="0"/>
  </r>
  <r>
    <x v="59"/>
    <x v="20"/>
    <x v="2"/>
    <x v="0"/>
    <x v="3"/>
    <x v="4"/>
    <n v="1"/>
    <n v="3000"/>
    <n v="800"/>
    <n v="3000"/>
    <x v="0"/>
  </r>
  <r>
    <x v="60"/>
    <x v="21"/>
    <x v="0"/>
    <x v="0"/>
    <x v="1"/>
    <x v="7"/>
    <n v="1"/>
    <n v="2500"/>
    <n v="500"/>
    <n v="2500"/>
    <x v="2"/>
  </r>
  <r>
    <x v="61"/>
    <x v="21"/>
    <x v="0"/>
    <x v="2"/>
    <x v="2"/>
    <x v="3"/>
    <n v="1"/>
    <n v="3000"/>
    <n v="800"/>
    <n v="3000"/>
    <x v="2"/>
  </r>
  <r>
    <x v="62"/>
    <x v="21"/>
    <x v="2"/>
    <x v="2"/>
    <x v="1"/>
    <x v="7"/>
    <n v="1"/>
    <n v="2500"/>
    <n v="500"/>
    <n v="2500"/>
    <x v="0"/>
  </r>
  <r>
    <x v="63"/>
    <x v="22"/>
    <x v="1"/>
    <x v="1"/>
    <x v="0"/>
    <x v="0"/>
    <n v="1"/>
    <n v="6000"/>
    <n v="1800"/>
    <n v="6000"/>
    <x v="2"/>
  </r>
  <r>
    <x v="64"/>
    <x v="22"/>
    <x v="0"/>
    <x v="1"/>
    <x v="0"/>
    <x v="1"/>
    <n v="1"/>
    <n v="2500"/>
    <n v="600"/>
    <n v="2500"/>
    <x v="0"/>
  </r>
  <r>
    <x v="65"/>
    <x v="22"/>
    <x v="0"/>
    <x v="2"/>
    <x v="3"/>
    <x v="12"/>
    <n v="1"/>
    <n v="2500"/>
    <n v="700"/>
    <n v="2500"/>
    <x v="1"/>
  </r>
  <r>
    <x v="66"/>
    <x v="22"/>
    <x v="2"/>
    <x v="1"/>
    <x v="1"/>
    <x v="7"/>
    <n v="1"/>
    <n v="2500"/>
    <n v="500"/>
    <n v="2500"/>
    <x v="0"/>
  </r>
  <r>
    <x v="67"/>
    <x v="23"/>
    <x v="1"/>
    <x v="0"/>
    <x v="3"/>
    <x v="12"/>
    <n v="1"/>
    <n v="2500"/>
    <n v="700"/>
    <n v="2500"/>
    <x v="1"/>
  </r>
  <r>
    <x v="68"/>
    <x v="24"/>
    <x v="2"/>
    <x v="2"/>
    <x v="1"/>
    <x v="9"/>
    <n v="1"/>
    <n v="8000"/>
    <n v="2500"/>
    <n v="8000"/>
    <x v="0"/>
  </r>
  <r>
    <x v="69"/>
    <x v="24"/>
    <x v="0"/>
    <x v="2"/>
    <x v="0"/>
    <x v="10"/>
    <n v="1"/>
    <n v="3000"/>
    <n v="700"/>
    <n v="3000"/>
    <x v="1"/>
  </r>
  <r>
    <x v="70"/>
    <x v="24"/>
    <x v="2"/>
    <x v="2"/>
    <x v="0"/>
    <x v="10"/>
    <n v="1"/>
    <n v="3000"/>
    <n v="700"/>
    <n v="3000"/>
    <x v="2"/>
  </r>
  <r>
    <x v="71"/>
    <x v="24"/>
    <x v="0"/>
    <x v="2"/>
    <x v="1"/>
    <x v="7"/>
    <n v="1"/>
    <n v="2500"/>
    <n v="500"/>
    <n v="2500"/>
    <x v="0"/>
  </r>
  <r>
    <x v="72"/>
    <x v="24"/>
    <x v="1"/>
    <x v="2"/>
    <x v="0"/>
    <x v="10"/>
    <n v="1"/>
    <n v="3000"/>
    <n v="700"/>
    <n v="3000"/>
    <x v="0"/>
  </r>
  <r>
    <x v="73"/>
    <x v="25"/>
    <x v="0"/>
    <x v="2"/>
    <x v="0"/>
    <x v="1"/>
    <n v="1"/>
    <n v="2500"/>
    <n v="600"/>
    <n v="2500"/>
    <x v="1"/>
  </r>
  <r>
    <x v="74"/>
    <x v="25"/>
    <x v="0"/>
    <x v="1"/>
    <x v="1"/>
    <x v="2"/>
    <n v="1"/>
    <n v="7500"/>
    <n v="2200"/>
    <n v="7500"/>
    <x v="1"/>
  </r>
  <r>
    <x v="75"/>
    <x v="25"/>
    <x v="0"/>
    <x v="2"/>
    <x v="3"/>
    <x v="6"/>
    <n v="2"/>
    <n v="5000"/>
    <n v="3000"/>
    <n v="10000"/>
    <x v="1"/>
  </r>
  <r>
    <x v="76"/>
    <x v="25"/>
    <x v="2"/>
    <x v="1"/>
    <x v="1"/>
    <x v="9"/>
    <n v="1"/>
    <n v="8000"/>
    <n v="2500"/>
    <n v="8000"/>
    <x v="0"/>
  </r>
  <r>
    <x v="77"/>
    <x v="25"/>
    <x v="0"/>
    <x v="0"/>
    <x v="2"/>
    <x v="5"/>
    <n v="1"/>
    <n v="4000"/>
    <n v="1000"/>
    <n v="4000"/>
    <x v="1"/>
  </r>
  <r>
    <x v="78"/>
    <x v="25"/>
    <x v="0"/>
    <x v="2"/>
    <x v="3"/>
    <x v="4"/>
    <n v="1"/>
    <n v="3000"/>
    <n v="800"/>
    <n v="3000"/>
    <x v="2"/>
  </r>
  <r>
    <x v="79"/>
    <x v="26"/>
    <x v="0"/>
    <x v="1"/>
    <x v="3"/>
    <x v="12"/>
    <n v="1"/>
    <n v="2500"/>
    <n v="700"/>
    <n v="2500"/>
    <x v="0"/>
  </r>
  <r>
    <x v="80"/>
    <x v="26"/>
    <x v="0"/>
    <x v="0"/>
    <x v="3"/>
    <x v="6"/>
    <n v="2"/>
    <n v="5000"/>
    <n v="3000"/>
    <n v="10000"/>
    <x v="1"/>
  </r>
  <r>
    <x v="81"/>
    <x v="26"/>
    <x v="2"/>
    <x v="2"/>
    <x v="1"/>
    <x v="2"/>
    <n v="1"/>
    <n v="7500"/>
    <n v="2200"/>
    <n v="7500"/>
    <x v="1"/>
  </r>
  <r>
    <x v="82"/>
    <x v="27"/>
    <x v="1"/>
    <x v="2"/>
    <x v="3"/>
    <x v="12"/>
    <n v="2"/>
    <n v="2500"/>
    <n v="1400"/>
    <n v="5000"/>
    <x v="2"/>
  </r>
  <r>
    <x v="83"/>
    <x v="28"/>
    <x v="0"/>
    <x v="1"/>
    <x v="1"/>
    <x v="9"/>
    <n v="1"/>
    <n v="8000"/>
    <n v="2500"/>
    <n v="8000"/>
    <x v="2"/>
  </r>
  <r>
    <x v="84"/>
    <x v="28"/>
    <x v="1"/>
    <x v="2"/>
    <x v="0"/>
    <x v="10"/>
    <n v="1"/>
    <n v="3000"/>
    <n v="700"/>
    <n v="3000"/>
    <x v="1"/>
  </r>
  <r>
    <x v="85"/>
    <x v="28"/>
    <x v="0"/>
    <x v="1"/>
    <x v="2"/>
    <x v="8"/>
    <n v="1"/>
    <n v="5000"/>
    <n v="1500"/>
    <n v="5000"/>
    <x v="0"/>
  </r>
  <r>
    <x v="86"/>
    <x v="28"/>
    <x v="2"/>
    <x v="2"/>
    <x v="3"/>
    <x v="6"/>
    <n v="2"/>
    <n v="5000"/>
    <n v="3000"/>
    <n v="10000"/>
    <x v="0"/>
  </r>
  <r>
    <x v="87"/>
    <x v="28"/>
    <x v="2"/>
    <x v="0"/>
    <x v="1"/>
    <x v="9"/>
    <n v="1"/>
    <n v="8000"/>
    <n v="2500"/>
    <n v="8000"/>
    <x v="1"/>
  </r>
  <r>
    <x v="88"/>
    <x v="29"/>
    <x v="0"/>
    <x v="0"/>
    <x v="3"/>
    <x v="12"/>
    <n v="1"/>
    <n v="2500"/>
    <n v="700"/>
    <n v="2500"/>
    <x v="1"/>
  </r>
  <r>
    <x v="89"/>
    <x v="29"/>
    <x v="2"/>
    <x v="2"/>
    <x v="3"/>
    <x v="6"/>
    <n v="2"/>
    <n v="5000"/>
    <n v="3000"/>
    <n v="10000"/>
    <x v="0"/>
  </r>
  <r>
    <x v="90"/>
    <x v="29"/>
    <x v="2"/>
    <x v="0"/>
    <x v="3"/>
    <x v="12"/>
    <n v="2"/>
    <n v="2500"/>
    <n v="1400"/>
    <n v="5000"/>
    <x v="0"/>
  </r>
  <r>
    <x v="91"/>
    <x v="29"/>
    <x v="2"/>
    <x v="1"/>
    <x v="1"/>
    <x v="11"/>
    <n v="2"/>
    <n v="7000"/>
    <n v="4000"/>
    <n v="14000"/>
    <x v="0"/>
  </r>
  <r>
    <x v="92"/>
    <x v="29"/>
    <x v="0"/>
    <x v="2"/>
    <x v="1"/>
    <x v="9"/>
    <n v="1"/>
    <n v="8000"/>
    <n v="2500"/>
    <n v="8000"/>
    <x v="0"/>
  </r>
  <r>
    <x v="93"/>
    <x v="30"/>
    <x v="2"/>
    <x v="2"/>
    <x v="3"/>
    <x v="6"/>
    <n v="1"/>
    <n v="5000"/>
    <n v="1500"/>
    <n v="5000"/>
    <x v="0"/>
  </r>
  <r>
    <x v="94"/>
    <x v="30"/>
    <x v="1"/>
    <x v="0"/>
    <x v="3"/>
    <x v="6"/>
    <n v="1"/>
    <n v="5000"/>
    <n v="1500"/>
    <n v="5000"/>
    <x v="2"/>
  </r>
  <r>
    <x v="95"/>
    <x v="30"/>
    <x v="0"/>
    <x v="2"/>
    <x v="1"/>
    <x v="7"/>
    <n v="1"/>
    <n v="2500"/>
    <n v="500"/>
    <n v="2500"/>
    <x v="1"/>
  </r>
  <r>
    <x v="96"/>
    <x v="31"/>
    <x v="0"/>
    <x v="0"/>
    <x v="2"/>
    <x v="8"/>
    <n v="1"/>
    <n v="5000"/>
    <n v="1500"/>
    <n v="5000"/>
    <x v="1"/>
  </r>
  <r>
    <x v="97"/>
    <x v="31"/>
    <x v="0"/>
    <x v="0"/>
    <x v="1"/>
    <x v="2"/>
    <n v="1"/>
    <n v="7500"/>
    <n v="2200"/>
    <n v="7500"/>
    <x v="1"/>
  </r>
  <r>
    <x v="98"/>
    <x v="31"/>
    <x v="2"/>
    <x v="0"/>
    <x v="0"/>
    <x v="10"/>
    <n v="2"/>
    <n v="3000"/>
    <n v="1400"/>
    <n v="6000"/>
    <x v="1"/>
  </r>
  <r>
    <x v="99"/>
    <x v="32"/>
    <x v="2"/>
    <x v="2"/>
    <x v="1"/>
    <x v="9"/>
    <n v="1"/>
    <n v="8000"/>
    <n v="2500"/>
    <n v="8000"/>
    <x v="0"/>
  </r>
  <r>
    <x v="100"/>
    <x v="32"/>
    <x v="0"/>
    <x v="2"/>
    <x v="3"/>
    <x v="4"/>
    <n v="2"/>
    <n v="3000"/>
    <n v="1600"/>
    <n v="6000"/>
    <x v="1"/>
  </r>
  <r>
    <x v="101"/>
    <x v="32"/>
    <x v="1"/>
    <x v="0"/>
    <x v="1"/>
    <x v="9"/>
    <n v="1"/>
    <n v="8000"/>
    <n v="2500"/>
    <n v="8000"/>
    <x v="2"/>
  </r>
  <r>
    <x v="102"/>
    <x v="32"/>
    <x v="0"/>
    <x v="1"/>
    <x v="0"/>
    <x v="0"/>
    <n v="1"/>
    <n v="6000"/>
    <n v="1800"/>
    <n v="6000"/>
    <x v="0"/>
  </r>
  <r>
    <x v="103"/>
    <x v="32"/>
    <x v="2"/>
    <x v="2"/>
    <x v="2"/>
    <x v="8"/>
    <n v="2"/>
    <n v="5000"/>
    <n v="3000"/>
    <n v="10000"/>
    <x v="2"/>
  </r>
  <r>
    <x v="104"/>
    <x v="32"/>
    <x v="0"/>
    <x v="0"/>
    <x v="1"/>
    <x v="7"/>
    <n v="1"/>
    <n v="2500"/>
    <n v="500"/>
    <n v="2500"/>
    <x v="1"/>
  </r>
  <r>
    <x v="105"/>
    <x v="33"/>
    <x v="1"/>
    <x v="1"/>
    <x v="2"/>
    <x v="8"/>
    <n v="2"/>
    <n v="5000"/>
    <n v="3000"/>
    <n v="10000"/>
    <x v="0"/>
  </r>
  <r>
    <x v="106"/>
    <x v="33"/>
    <x v="1"/>
    <x v="1"/>
    <x v="2"/>
    <x v="8"/>
    <n v="1"/>
    <n v="5000"/>
    <n v="1500"/>
    <n v="5000"/>
    <x v="2"/>
  </r>
  <r>
    <x v="107"/>
    <x v="33"/>
    <x v="1"/>
    <x v="0"/>
    <x v="2"/>
    <x v="3"/>
    <n v="2"/>
    <n v="3000"/>
    <n v="1600"/>
    <n v="6000"/>
    <x v="0"/>
  </r>
  <r>
    <x v="108"/>
    <x v="34"/>
    <x v="0"/>
    <x v="0"/>
    <x v="3"/>
    <x v="6"/>
    <n v="1"/>
    <n v="5000"/>
    <n v="1500"/>
    <n v="5000"/>
    <x v="0"/>
  </r>
  <r>
    <x v="109"/>
    <x v="34"/>
    <x v="0"/>
    <x v="0"/>
    <x v="0"/>
    <x v="1"/>
    <n v="2"/>
    <n v="2500"/>
    <n v="1200"/>
    <n v="5000"/>
    <x v="2"/>
  </r>
  <r>
    <x v="110"/>
    <x v="34"/>
    <x v="2"/>
    <x v="1"/>
    <x v="3"/>
    <x v="12"/>
    <n v="1"/>
    <n v="2500"/>
    <n v="700"/>
    <n v="2500"/>
    <x v="0"/>
  </r>
  <r>
    <x v="111"/>
    <x v="35"/>
    <x v="1"/>
    <x v="2"/>
    <x v="1"/>
    <x v="11"/>
    <n v="2"/>
    <n v="7000"/>
    <n v="4000"/>
    <n v="14000"/>
    <x v="0"/>
  </r>
  <r>
    <x v="112"/>
    <x v="36"/>
    <x v="1"/>
    <x v="2"/>
    <x v="2"/>
    <x v="5"/>
    <n v="1"/>
    <n v="4000"/>
    <n v="1000"/>
    <n v="4000"/>
    <x v="1"/>
  </r>
  <r>
    <x v="113"/>
    <x v="36"/>
    <x v="0"/>
    <x v="1"/>
    <x v="2"/>
    <x v="8"/>
    <n v="1"/>
    <n v="5000"/>
    <n v="1500"/>
    <n v="5000"/>
    <x v="2"/>
  </r>
  <r>
    <x v="114"/>
    <x v="36"/>
    <x v="0"/>
    <x v="1"/>
    <x v="1"/>
    <x v="9"/>
    <n v="1"/>
    <n v="8000"/>
    <n v="2500"/>
    <n v="8000"/>
    <x v="0"/>
  </r>
  <r>
    <x v="115"/>
    <x v="37"/>
    <x v="0"/>
    <x v="2"/>
    <x v="1"/>
    <x v="11"/>
    <n v="1"/>
    <n v="7000"/>
    <n v="2000"/>
    <n v="7000"/>
    <x v="0"/>
  </r>
  <r>
    <x v="116"/>
    <x v="37"/>
    <x v="0"/>
    <x v="0"/>
    <x v="2"/>
    <x v="8"/>
    <n v="1"/>
    <n v="5000"/>
    <n v="1500"/>
    <n v="5000"/>
    <x v="1"/>
  </r>
  <r>
    <x v="117"/>
    <x v="38"/>
    <x v="1"/>
    <x v="1"/>
    <x v="1"/>
    <x v="11"/>
    <n v="1"/>
    <n v="7000"/>
    <n v="2000"/>
    <n v="7000"/>
    <x v="1"/>
  </r>
  <r>
    <x v="118"/>
    <x v="38"/>
    <x v="2"/>
    <x v="2"/>
    <x v="0"/>
    <x v="10"/>
    <n v="2"/>
    <n v="3000"/>
    <n v="1400"/>
    <n v="6000"/>
    <x v="1"/>
  </r>
  <r>
    <x v="119"/>
    <x v="39"/>
    <x v="2"/>
    <x v="1"/>
    <x v="0"/>
    <x v="10"/>
    <n v="1"/>
    <n v="3000"/>
    <n v="700"/>
    <n v="3000"/>
    <x v="2"/>
  </r>
  <r>
    <x v="120"/>
    <x v="39"/>
    <x v="2"/>
    <x v="0"/>
    <x v="1"/>
    <x v="11"/>
    <n v="2"/>
    <n v="7000"/>
    <n v="4000"/>
    <n v="14000"/>
    <x v="2"/>
  </r>
  <r>
    <x v="121"/>
    <x v="40"/>
    <x v="1"/>
    <x v="0"/>
    <x v="3"/>
    <x v="12"/>
    <n v="1"/>
    <n v="2500"/>
    <n v="700"/>
    <n v="2500"/>
    <x v="2"/>
  </r>
  <r>
    <x v="122"/>
    <x v="40"/>
    <x v="2"/>
    <x v="0"/>
    <x v="1"/>
    <x v="2"/>
    <n v="1"/>
    <n v="7500"/>
    <n v="2200"/>
    <n v="7500"/>
    <x v="2"/>
  </r>
  <r>
    <x v="123"/>
    <x v="40"/>
    <x v="2"/>
    <x v="0"/>
    <x v="2"/>
    <x v="3"/>
    <n v="2"/>
    <n v="3000"/>
    <n v="1600"/>
    <n v="6000"/>
    <x v="2"/>
  </r>
  <r>
    <x v="124"/>
    <x v="41"/>
    <x v="1"/>
    <x v="1"/>
    <x v="3"/>
    <x v="12"/>
    <n v="1"/>
    <n v="2500"/>
    <n v="700"/>
    <n v="2500"/>
    <x v="2"/>
  </r>
  <r>
    <x v="125"/>
    <x v="41"/>
    <x v="2"/>
    <x v="2"/>
    <x v="2"/>
    <x v="3"/>
    <n v="1"/>
    <n v="3000"/>
    <n v="800"/>
    <n v="3000"/>
    <x v="2"/>
  </r>
  <r>
    <x v="126"/>
    <x v="41"/>
    <x v="0"/>
    <x v="0"/>
    <x v="2"/>
    <x v="5"/>
    <n v="1"/>
    <n v="4000"/>
    <n v="1000"/>
    <n v="4000"/>
    <x v="0"/>
  </r>
  <r>
    <x v="127"/>
    <x v="41"/>
    <x v="0"/>
    <x v="1"/>
    <x v="3"/>
    <x v="4"/>
    <n v="1"/>
    <n v="3000"/>
    <n v="800"/>
    <n v="3000"/>
    <x v="0"/>
  </r>
  <r>
    <x v="128"/>
    <x v="41"/>
    <x v="1"/>
    <x v="0"/>
    <x v="1"/>
    <x v="9"/>
    <n v="1"/>
    <n v="8000"/>
    <n v="2500"/>
    <n v="8000"/>
    <x v="0"/>
  </r>
  <r>
    <x v="129"/>
    <x v="42"/>
    <x v="1"/>
    <x v="2"/>
    <x v="1"/>
    <x v="7"/>
    <n v="1"/>
    <n v="2500"/>
    <n v="500"/>
    <n v="2500"/>
    <x v="1"/>
  </r>
  <r>
    <x v="130"/>
    <x v="42"/>
    <x v="0"/>
    <x v="0"/>
    <x v="0"/>
    <x v="0"/>
    <n v="2"/>
    <n v="6000"/>
    <n v="3600"/>
    <n v="12000"/>
    <x v="1"/>
  </r>
  <r>
    <x v="131"/>
    <x v="42"/>
    <x v="1"/>
    <x v="1"/>
    <x v="2"/>
    <x v="8"/>
    <n v="1"/>
    <n v="5000"/>
    <n v="1500"/>
    <n v="5000"/>
    <x v="2"/>
  </r>
  <r>
    <x v="132"/>
    <x v="43"/>
    <x v="2"/>
    <x v="1"/>
    <x v="0"/>
    <x v="0"/>
    <n v="1"/>
    <n v="6000"/>
    <n v="1800"/>
    <n v="6000"/>
    <x v="0"/>
  </r>
  <r>
    <x v="133"/>
    <x v="43"/>
    <x v="1"/>
    <x v="2"/>
    <x v="0"/>
    <x v="1"/>
    <n v="1"/>
    <n v="2500"/>
    <n v="600"/>
    <n v="2500"/>
    <x v="1"/>
  </r>
  <r>
    <x v="134"/>
    <x v="44"/>
    <x v="0"/>
    <x v="2"/>
    <x v="1"/>
    <x v="7"/>
    <n v="1"/>
    <n v="2500"/>
    <n v="500"/>
    <n v="2500"/>
    <x v="2"/>
  </r>
  <r>
    <x v="135"/>
    <x v="44"/>
    <x v="1"/>
    <x v="1"/>
    <x v="1"/>
    <x v="7"/>
    <n v="1"/>
    <n v="2500"/>
    <n v="500"/>
    <n v="2500"/>
    <x v="0"/>
  </r>
  <r>
    <x v="136"/>
    <x v="44"/>
    <x v="0"/>
    <x v="1"/>
    <x v="0"/>
    <x v="10"/>
    <n v="1"/>
    <n v="3000"/>
    <n v="700"/>
    <n v="3000"/>
    <x v="2"/>
  </r>
  <r>
    <x v="137"/>
    <x v="45"/>
    <x v="1"/>
    <x v="1"/>
    <x v="2"/>
    <x v="8"/>
    <n v="1"/>
    <n v="5000"/>
    <n v="1500"/>
    <n v="5000"/>
    <x v="0"/>
  </r>
  <r>
    <x v="138"/>
    <x v="45"/>
    <x v="1"/>
    <x v="2"/>
    <x v="0"/>
    <x v="10"/>
    <n v="1"/>
    <n v="3000"/>
    <n v="700"/>
    <n v="3000"/>
    <x v="2"/>
  </r>
  <r>
    <x v="139"/>
    <x v="46"/>
    <x v="2"/>
    <x v="2"/>
    <x v="0"/>
    <x v="10"/>
    <n v="1"/>
    <n v="3000"/>
    <n v="700"/>
    <n v="3000"/>
    <x v="2"/>
  </r>
  <r>
    <x v="140"/>
    <x v="46"/>
    <x v="1"/>
    <x v="2"/>
    <x v="3"/>
    <x v="12"/>
    <n v="1"/>
    <n v="2500"/>
    <n v="700"/>
    <n v="2500"/>
    <x v="0"/>
  </r>
  <r>
    <x v="141"/>
    <x v="46"/>
    <x v="0"/>
    <x v="1"/>
    <x v="3"/>
    <x v="6"/>
    <n v="1"/>
    <n v="5000"/>
    <n v="1500"/>
    <n v="5000"/>
    <x v="2"/>
  </r>
  <r>
    <x v="142"/>
    <x v="46"/>
    <x v="1"/>
    <x v="0"/>
    <x v="2"/>
    <x v="5"/>
    <n v="1"/>
    <n v="4000"/>
    <n v="1000"/>
    <n v="4000"/>
    <x v="2"/>
  </r>
  <r>
    <x v="143"/>
    <x v="46"/>
    <x v="1"/>
    <x v="0"/>
    <x v="3"/>
    <x v="4"/>
    <n v="1"/>
    <n v="3000"/>
    <n v="800"/>
    <n v="3000"/>
    <x v="2"/>
  </r>
  <r>
    <x v="144"/>
    <x v="46"/>
    <x v="2"/>
    <x v="2"/>
    <x v="0"/>
    <x v="1"/>
    <n v="1"/>
    <n v="2500"/>
    <n v="600"/>
    <n v="2500"/>
    <x v="1"/>
  </r>
  <r>
    <x v="145"/>
    <x v="46"/>
    <x v="2"/>
    <x v="2"/>
    <x v="2"/>
    <x v="5"/>
    <n v="2"/>
    <n v="4000"/>
    <n v="2000"/>
    <n v="8000"/>
    <x v="1"/>
  </r>
  <r>
    <x v="146"/>
    <x v="47"/>
    <x v="0"/>
    <x v="1"/>
    <x v="1"/>
    <x v="11"/>
    <n v="2"/>
    <n v="7000"/>
    <n v="4000"/>
    <n v="14000"/>
    <x v="1"/>
  </r>
  <r>
    <x v="147"/>
    <x v="48"/>
    <x v="0"/>
    <x v="0"/>
    <x v="1"/>
    <x v="9"/>
    <n v="1"/>
    <n v="8000"/>
    <n v="2500"/>
    <n v="8000"/>
    <x v="1"/>
  </r>
  <r>
    <x v="148"/>
    <x v="48"/>
    <x v="1"/>
    <x v="0"/>
    <x v="3"/>
    <x v="12"/>
    <n v="1"/>
    <n v="2500"/>
    <n v="700"/>
    <n v="2500"/>
    <x v="0"/>
  </r>
  <r>
    <x v="149"/>
    <x v="49"/>
    <x v="1"/>
    <x v="2"/>
    <x v="0"/>
    <x v="1"/>
    <n v="1"/>
    <n v="2500"/>
    <n v="600"/>
    <n v="2500"/>
    <x v="0"/>
  </r>
  <r>
    <x v="150"/>
    <x v="50"/>
    <x v="2"/>
    <x v="0"/>
    <x v="1"/>
    <x v="2"/>
    <n v="1"/>
    <n v="7500"/>
    <n v="2200"/>
    <n v="7500"/>
    <x v="0"/>
  </r>
  <r>
    <x v="151"/>
    <x v="51"/>
    <x v="1"/>
    <x v="2"/>
    <x v="3"/>
    <x v="12"/>
    <n v="1"/>
    <n v="2500"/>
    <n v="700"/>
    <n v="2500"/>
    <x v="0"/>
  </r>
  <r>
    <x v="152"/>
    <x v="52"/>
    <x v="2"/>
    <x v="2"/>
    <x v="1"/>
    <x v="7"/>
    <n v="1"/>
    <n v="2500"/>
    <n v="500"/>
    <n v="2500"/>
    <x v="1"/>
  </r>
  <r>
    <x v="153"/>
    <x v="52"/>
    <x v="0"/>
    <x v="2"/>
    <x v="3"/>
    <x v="6"/>
    <n v="1"/>
    <n v="5000"/>
    <n v="1500"/>
    <n v="5000"/>
    <x v="1"/>
  </r>
  <r>
    <x v="154"/>
    <x v="52"/>
    <x v="1"/>
    <x v="0"/>
    <x v="0"/>
    <x v="10"/>
    <n v="1"/>
    <n v="3000"/>
    <n v="700"/>
    <n v="3000"/>
    <x v="2"/>
  </r>
  <r>
    <x v="155"/>
    <x v="53"/>
    <x v="2"/>
    <x v="1"/>
    <x v="0"/>
    <x v="10"/>
    <n v="1"/>
    <n v="3000"/>
    <n v="700"/>
    <n v="3000"/>
    <x v="2"/>
  </r>
  <r>
    <x v="156"/>
    <x v="53"/>
    <x v="2"/>
    <x v="0"/>
    <x v="1"/>
    <x v="7"/>
    <n v="2"/>
    <n v="2500"/>
    <n v="1000"/>
    <n v="5000"/>
    <x v="1"/>
  </r>
  <r>
    <x v="157"/>
    <x v="54"/>
    <x v="2"/>
    <x v="1"/>
    <x v="2"/>
    <x v="3"/>
    <n v="2"/>
    <n v="3000"/>
    <n v="1600"/>
    <n v="6000"/>
    <x v="0"/>
  </r>
  <r>
    <x v="158"/>
    <x v="54"/>
    <x v="1"/>
    <x v="1"/>
    <x v="0"/>
    <x v="1"/>
    <n v="1"/>
    <n v="2500"/>
    <n v="600"/>
    <n v="2500"/>
    <x v="0"/>
  </r>
  <r>
    <x v="159"/>
    <x v="54"/>
    <x v="0"/>
    <x v="2"/>
    <x v="0"/>
    <x v="1"/>
    <n v="1"/>
    <n v="2500"/>
    <n v="600"/>
    <n v="2500"/>
    <x v="0"/>
  </r>
  <r>
    <x v="160"/>
    <x v="54"/>
    <x v="1"/>
    <x v="0"/>
    <x v="1"/>
    <x v="9"/>
    <n v="1"/>
    <n v="8000"/>
    <n v="2500"/>
    <n v="8000"/>
    <x v="0"/>
  </r>
  <r>
    <x v="161"/>
    <x v="55"/>
    <x v="1"/>
    <x v="0"/>
    <x v="1"/>
    <x v="2"/>
    <n v="1"/>
    <n v="7500"/>
    <n v="2200"/>
    <n v="7500"/>
    <x v="0"/>
  </r>
  <r>
    <x v="162"/>
    <x v="55"/>
    <x v="1"/>
    <x v="0"/>
    <x v="1"/>
    <x v="7"/>
    <n v="2"/>
    <n v="2500"/>
    <n v="1000"/>
    <n v="5000"/>
    <x v="0"/>
  </r>
  <r>
    <x v="163"/>
    <x v="55"/>
    <x v="1"/>
    <x v="1"/>
    <x v="3"/>
    <x v="12"/>
    <n v="1"/>
    <n v="2500"/>
    <n v="700"/>
    <n v="2500"/>
    <x v="2"/>
  </r>
  <r>
    <x v="164"/>
    <x v="55"/>
    <x v="2"/>
    <x v="2"/>
    <x v="0"/>
    <x v="0"/>
    <n v="1"/>
    <n v="6000"/>
    <n v="1800"/>
    <n v="6000"/>
    <x v="1"/>
  </r>
  <r>
    <x v="165"/>
    <x v="56"/>
    <x v="1"/>
    <x v="0"/>
    <x v="2"/>
    <x v="5"/>
    <n v="1"/>
    <n v="4000"/>
    <n v="1000"/>
    <n v="4000"/>
    <x v="1"/>
  </r>
  <r>
    <x v="166"/>
    <x v="56"/>
    <x v="0"/>
    <x v="2"/>
    <x v="1"/>
    <x v="2"/>
    <n v="1"/>
    <n v="7500"/>
    <n v="2200"/>
    <n v="7500"/>
    <x v="2"/>
  </r>
  <r>
    <x v="167"/>
    <x v="56"/>
    <x v="0"/>
    <x v="1"/>
    <x v="1"/>
    <x v="7"/>
    <n v="2"/>
    <n v="2500"/>
    <n v="1000"/>
    <n v="5000"/>
    <x v="1"/>
  </r>
  <r>
    <x v="168"/>
    <x v="57"/>
    <x v="2"/>
    <x v="0"/>
    <x v="3"/>
    <x v="6"/>
    <n v="2"/>
    <n v="5000"/>
    <n v="3000"/>
    <n v="10000"/>
    <x v="2"/>
  </r>
  <r>
    <x v="169"/>
    <x v="58"/>
    <x v="1"/>
    <x v="0"/>
    <x v="1"/>
    <x v="9"/>
    <n v="1"/>
    <n v="8000"/>
    <n v="2500"/>
    <n v="8000"/>
    <x v="2"/>
  </r>
  <r>
    <x v="170"/>
    <x v="58"/>
    <x v="1"/>
    <x v="1"/>
    <x v="2"/>
    <x v="3"/>
    <n v="1"/>
    <n v="3000"/>
    <n v="800"/>
    <n v="3000"/>
    <x v="0"/>
  </r>
  <r>
    <x v="171"/>
    <x v="58"/>
    <x v="1"/>
    <x v="2"/>
    <x v="2"/>
    <x v="5"/>
    <n v="1"/>
    <n v="4000"/>
    <n v="1000"/>
    <n v="4000"/>
    <x v="2"/>
  </r>
  <r>
    <x v="172"/>
    <x v="59"/>
    <x v="1"/>
    <x v="2"/>
    <x v="2"/>
    <x v="8"/>
    <n v="2"/>
    <n v="5000"/>
    <n v="3000"/>
    <n v="10000"/>
    <x v="1"/>
  </r>
  <r>
    <x v="173"/>
    <x v="59"/>
    <x v="2"/>
    <x v="1"/>
    <x v="2"/>
    <x v="8"/>
    <n v="2"/>
    <n v="5000"/>
    <n v="3000"/>
    <n v="10000"/>
    <x v="0"/>
  </r>
  <r>
    <x v="174"/>
    <x v="60"/>
    <x v="0"/>
    <x v="2"/>
    <x v="0"/>
    <x v="1"/>
    <n v="1"/>
    <n v="2500"/>
    <n v="600"/>
    <n v="2500"/>
    <x v="0"/>
  </r>
  <r>
    <x v="175"/>
    <x v="60"/>
    <x v="0"/>
    <x v="2"/>
    <x v="1"/>
    <x v="11"/>
    <n v="1"/>
    <n v="7000"/>
    <n v="2000"/>
    <n v="7000"/>
    <x v="0"/>
  </r>
  <r>
    <x v="176"/>
    <x v="60"/>
    <x v="0"/>
    <x v="2"/>
    <x v="2"/>
    <x v="5"/>
    <n v="1"/>
    <n v="4000"/>
    <n v="1000"/>
    <n v="4000"/>
    <x v="0"/>
  </r>
  <r>
    <x v="177"/>
    <x v="60"/>
    <x v="2"/>
    <x v="0"/>
    <x v="0"/>
    <x v="0"/>
    <n v="2"/>
    <n v="6000"/>
    <n v="3600"/>
    <n v="12000"/>
    <x v="2"/>
  </r>
  <r>
    <x v="178"/>
    <x v="60"/>
    <x v="0"/>
    <x v="2"/>
    <x v="3"/>
    <x v="6"/>
    <n v="2"/>
    <n v="5000"/>
    <n v="3000"/>
    <n v="10000"/>
    <x v="1"/>
  </r>
  <r>
    <x v="179"/>
    <x v="60"/>
    <x v="0"/>
    <x v="0"/>
    <x v="3"/>
    <x v="4"/>
    <n v="1"/>
    <n v="3000"/>
    <n v="800"/>
    <n v="3000"/>
    <x v="0"/>
  </r>
  <r>
    <x v="180"/>
    <x v="60"/>
    <x v="2"/>
    <x v="2"/>
    <x v="0"/>
    <x v="0"/>
    <n v="1"/>
    <n v="6000"/>
    <n v="1800"/>
    <n v="6000"/>
    <x v="1"/>
  </r>
  <r>
    <x v="181"/>
    <x v="61"/>
    <x v="0"/>
    <x v="0"/>
    <x v="2"/>
    <x v="8"/>
    <n v="1"/>
    <n v="5000"/>
    <n v="1500"/>
    <n v="5000"/>
    <x v="2"/>
  </r>
  <r>
    <x v="182"/>
    <x v="61"/>
    <x v="0"/>
    <x v="0"/>
    <x v="3"/>
    <x v="12"/>
    <n v="1"/>
    <n v="2500"/>
    <n v="700"/>
    <n v="2500"/>
    <x v="2"/>
  </r>
  <r>
    <x v="183"/>
    <x v="61"/>
    <x v="2"/>
    <x v="2"/>
    <x v="0"/>
    <x v="0"/>
    <n v="1"/>
    <n v="6000"/>
    <n v="1800"/>
    <n v="6000"/>
    <x v="2"/>
  </r>
  <r>
    <x v="184"/>
    <x v="62"/>
    <x v="1"/>
    <x v="1"/>
    <x v="2"/>
    <x v="5"/>
    <n v="1"/>
    <n v="4000"/>
    <n v="1000"/>
    <n v="4000"/>
    <x v="1"/>
  </r>
  <r>
    <x v="185"/>
    <x v="62"/>
    <x v="2"/>
    <x v="1"/>
    <x v="1"/>
    <x v="7"/>
    <n v="2"/>
    <n v="2500"/>
    <n v="1000"/>
    <n v="5000"/>
    <x v="0"/>
  </r>
  <r>
    <x v="186"/>
    <x v="63"/>
    <x v="1"/>
    <x v="0"/>
    <x v="0"/>
    <x v="0"/>
    <n v="1"/>
    <n v="6000"/>
    <n v="1800"/>
    <n v="6000"/>
    <x v="2"/>
  </r>
  <r>
    <x v="187"/>
    <x v="63"/>
    <x v="1"/>
    <x v="2"/>
    <x v="2"/>
    <x v="8"/>
    <n v="1"/>
    <n v="5000"/>
    <n v="1500"/>
    <n v="5000"/>
    <x v="1"/>
  </r>
  <r>
    <x v="188"/>
    <x v="64"/>
    <x v="1"/>
    <x v="0"/>
    <x v="1"/>
    <x v="9"/>
    <n v="1"/>
    <n v="8000"/>
    <n v="2500"/>
    <n v="8000"/>
    <x v="1"/>
  </r>
  <r>
    <x v="189"/>
    <x v="64"/>
    <x v="1"/>
    <x v="2"/>
    <x v="1"/>
    <x v="7"/>
    <n v="1"/>
    <n v="2500"/>
    <n v="500"/>
    <n v="2500"/>
    <x v="0"/>
  </r>
  <r>
    <x v="190"/>
    <x v="64"/>
    <x v="1"/>
    <x v="0"/>
    <x v="2"/>
    <x v="3"/>
    <n v="1"/>
    <n v="3000"/>
    <n v="800"/>
    <n v="3000"/>
    <x v="2"/>
  </r>
  <r>
    <x v="191"/>
    <x v="64"/>
    <x v="1"/>
    <x v="2"/>
    <x v="1"/>
    <x v="9"/>
    <n v="1"/>
    <n v="8000"/>
    <n v="2500"/>
    <n v="8000"/>
    <x v="2"/>
  </r>
  <r>
    <x v="192"/>
    <x v="65"/>
    <x v="0"/>
    <x v="1"/>
    <x v="1"/>
    <x v="2"/>
    <n v="1"/>
    <n v="7500"/>
    <n v="2200"/>
    <n v="7500"/>
    <x v="1"/>
  </r>
  <r>
    <x v="193"/>
    <x v="65"/>
    <x v="1"/>
    <x v="1"/>
    <x v="3"/>
    <x v="6"/>
    <n v="1"/>
    <n v="5000"/>
    <n v="1500"/>
    <n v="5000"/>
    <x v="0"/>
  </r>
  <r>
    <x v="194"/>
    <x v="65"/>
    <x v="2"/>
    <x v="1"/>
    <x v="1"/>
    <x v="11"/>
    <n v="2"/>
    <n v="7000"/>
    <n v="4000"/>
    <n v="14000"/>
    <x v="0"/>
  </r>
  <r>
    <x v="195"/>
    <x v="65"/>
    <x v="0"/>
    <x v="1"/>
    <x v="1"/>
    <x v="2"/>
    <n v="1"/>
    <n v="7500"/>
    <n v="2200"/>
    <n v="7500"/>
    <x v="1"/>
  </r>
  <r>
    <x v="196"/>
    <x v="66"/>
    <x v="2"/>
    <x v="2"/>
    <x v="0"/>
    <x v="10"/>
    <n v="1"/>
    <n v="3000"/>
    <n v="700"/>
    <n v="3000"/>
    <x v="0"/>
  </r>
  <r>
    <x v="197"/>
    <x v="66"/>
    <x v="2"/>
    <x v="1"/>
    <x v="1"/>
    <x v="2"/>
    <n v="2"/>
    <n v="7500"/>
    <n v="4400"/>
    <n v="15000"/>
    <x v="0"/>
  </r>
  <r>
    <x v="198"/>
    <x v="66"/>
    <x v="1"/>
    <x v="0"/>
    <x v="3"/>
    <x v="6"/>
    <n v="1"/>
    <n v="5000"/>
    <n v="1500"/>
    <n v="5000"/>
    <x v="1"/>
  </r>
  <r>
    <x v="199"/>
    <x v="66"/>
    <x v="2"/>
    <x v="0"/>
    <x v="2"/>
    <x v="5"/>
    <n v="1"/>
    <n v="4000"/>
    <n v="1000"/>
    <n v="4000"/>
    <x v="1"/>
  </r>
  <r>
    <x v="200"/>
    <x v="67"/>
    <x v="1"/>
    <x v="0"/>
    <x v="0"/>
    <x v="1"/>
    <n v="1"/>
    <n v="2500"/>
    <n v="600"/>
    <n v="2500"/>
    <x v="2"/>
  </r>
  <r>
    <x v="201"/>
    <x v="68"/>
    <x v="0"/>
    <x v="1"/>
    <x v="3"/>
    <x v="4"/>
    <n v="2"/>
    <n v="3000"/>
    <n v="1600"/>
    <n v="6000"/>
    <x v="2"/>
  </r>
  <r>
    <x v="202"/>
    <x v="69"/>
    <x v="1"/>
    <x v="0"/>
    <x v="3"/>
    <x v="6"/>
    <n v="1"/>
    <n v="5000"/>
    <n v="1500"/>
    <n v="5000"/>
    <x v="0"/>
  </r>
  <r>
    <x v="203"/>
    <x v="69"/>
    <x v="0"/>
    <x v="2"/>
    <x v="3"/>
    <x v="4"/>
    <n v="1"/>
    <n v="3000"/>
    <n v="800"/>
    <n v="3000"/>
    <x v="2"/>
  </r>
  <r>
    <x v="204"/>
    <x v="69"/>
    <x v="1"/>
    <x v="0"/>
    <x v="2"/>
    <x v="8"/>
    <n v="1"/>
    <n v="5000"/>
    <n v="1500"/>
    <n v="5000"/>
    <x v="2"/>
  </r>
  <r>
    <x v="205"/>
    <x v="70"/>
    <x v="2"/>
    <x v="1"/>
    <x v="2"/>
    <x v="3"/>
    <n v="1"/>
    <n v="3000"/>
    <n v="800"/>
    <n v="3000"/>
    <x v="2"/>
  </r>
  <r>
    <x v="206"/>
    <x v="70"/>
    <x v="0"/>
    <x v="1"/>
    <x v="0"/>
    <x v="1"/>
    <n v="1"/>
    <n v="2500"/>
    <n v="600"/>
    <n v="2500"/>
    <x v="2"/>
  </r>
  <r>
    <x v="207"/>
    <x v="71"/>
    <x v="2"/>
    <x v="0"/>
    <x v="2"/>
    <x v="5"/>
    <n v="1"/>
    <n v="4000"/>
    <n v="1000"/>
    <n v="4000"/>
    <x v="1"/>
  </r>
  <r>
    <x v="208"/>
    <x v="71"/>
    <x v="2"/>
    <x v="2"/>
    <x v="1"/>
    <x v="2"/>
    <n v="1"/>
    <n v="7500"/>
    <n v="2200"/>
    <n v="7500"/>
    <x v="1"/>
  </r>
  <r>
    <x v="209"/>
    <x v="72"/>
    <x v="2"/>
    <x v="2"/>
    <x v="1"/>
    <x v="7"/>
    <n v="1"/>
    <n v="2500"/>
    <n v="500"/>
    <n v="2500"/>
    <x v="2"/>
  </r>
  <r>
    <x v="210"/>
    <x v="72"/>
    <x v="2"/>
    <x v="0"/>
    <x v="2"/>
    <x v="8"/>
    <n v="2"/>
    <n v="5000"/>
    <n v="3000"/>
    <n v="10000"/>
    <x v="1"/>
  </r>
  <r>
    <x v="211"/>
    <x v="72"/>
    <x v="1"/>
    <x v="2"/>
    <x v="2"/>
    <x v="5"/>
    <n v="1"/>
    <n v="4000"/>
    <n v="1000"/>
    <n v="4000"/>
    <x v="2"/>
  </r>
  <r>
    <x v="212"/>
    <x v="73"/>
    <x v="0"/>
    <x v="2"/>
    <x v="0"/>
    <x v="10"/>
    <n v="1"/>
    <n v="3000"/>
    <n v="700"/>
    <n v="3000"/>
    <x v="0"/>
  </r>
  <r>
    <x v="213"/>
    <x v="73"/>
    <x v="0"/>
    <x v="1"/>
    <x v="3"/>
    <x v="4"/>
    <n v="1"/>
    <n v="3000"/>
    <n v="800"/>
    <n v="3000"/>
    <x v="1"/>
  </r>
  <r>
    <x v="214"/>
    <x v="73"/>
    <x v="2"/>
    <x v="2"/>
    <x v="2"/>
    <x v="8"/>
    <n v="1"/>
    <n v="5000"/>
    <n v="1500"/>
    <n v="5000"/>
    <x v="0"/>
  </r>
  <r>
    <x v="215"/>
    <x v="73"/>
    <x v="1"/>
    <x v="2"/>
    <x v="0"/>
    <x v="10"/>
    <n v="1"/>
    <n v="3000"/>
    <n v="700"/>
    <n v="3000"/>
    <x v="0"/>
  </r>
  <r>
    <x v="216"/>
    <x v="74"/>
    <x v="0"/>
    <x v="2"/>
    <x v="1"/>
    <x v="7"/>
    <n v="1"/>
    <n v="2500"/>
    <n v="500"/>
    <n v="2500"/>
    <x v="2"/>
  </r>
  <r>
    <x v="217"/>
    <x v="74"/>
    <x v="0"/>
    <x v="0"/>
    <x v="2"/>
    <x v="3"/>
    <n v="1"/>
    <n v="3000"/>
    <n v="800"/>
    <n v="3000"/>
    <x v="1"/>
  </r>
  <r>
    <x v="218"/>
    <x v="74"/>
    <x v="1"/>
    <x v="0"/>
    <x v="1"/>
    <x v="2"/>
    <n v="1"/>
    <n v="7500"/>
    <n v="2200"/>
    <n v="7500"/>
    <x v="1"/>
  </r>
  <r>
    <x v="219"/>
    <x v="75"/>
    <x v="2"/>
    <x v="2"/>
    <x v="0"/>
    <x v="0"/>
    <n v="1"/>
    <n v="6000"/>
    <n v="1800"/>
    <n v="6000"/>
    <x v="1"/>
  </r>
  <r>
    <x v="220"/>
    <x v="75"/>
    <x v="2"/>
    <x v="1"/>
    <x v="0"/>
    <x v="10"/>
    <n v="1"/>
    <n v="3000"/>
    <n v="700"/>
    <n v="3000"/>
    <x v="0"/>
  </r>
  <r>
    <x v="221"/>
    <x v="76"/>
    <x v="2"/>
    <x v="0"/>
    <x v="2"/>
    <x v="8"/>
    <n v="1"/>
    <n v="5000"/>
    <n v="1500"/>
    <n v="5000"/>
    <x v="0"/>
  </r>
  <r>
    <x v="222"/>
    <x v="76"/>
    <x v="0"/>
    <x v="0"/>
    <x v="1"/>
    <x v="7"/>
    <n v="1"/>
    <n v="2500"/>
    <n v="500"/>
    <n v="2500"/>
    <x v="0"/>
  </r>
  <r>
    <x v="223"/>
    <x v="76"/>
    <x v="1"/>
    <x v="2"/>
    <x v="3"/>
    <x v="6"/>
    <n v="1"/>
    <n v="5000"/>
    <n v="1500"/>
    <n v="5000"/>
    <x v="2"/>
  </r>
  <r>
    <x v="224"/>
    <x v="76"/>
    <x v="1"/>
    <x v="2"/>
    <x v="3"/>
    <x v="12"/>
    <n v="1"/>
    <n v="2500"/>
    <n v="700"/>
    <n v="2500"/>
    <x v="2"/>
  </r>
  <r>
    <x v="225"/>
    <x v="76"/>
    <x v="2"/>
    <x v="1"/>
    <x v="1"/>
    <x v="2"/>
    <n v="1"/>
    <n v="7500"/>
    <n v="2200"/>
    <n v="7500"/>
    <x v="2"/>
  </r>
  <r>
    <x v="226"/>
    <x v="77"/>
    <x v="2"/>
    <x v="2"/>
    <x v="3"/>
    <x v="4"/>
    <n v="1"/>
    <n v="3000"/>
    <n v="800"/>
    <n v="3000"/>
    <x v="0"/>
  </r>
  <r>
    <x v="227"/>
    <x v="77"/>
    <x v="1"/>
    <x v="1"/>
    <x v="1"/>
    <x v="9"/>
    <n v="1"/>
    <n v="8000"/>
    <n v="2500"/>
    <n v="8000"/>
    <x v="0"/>
  </r>
  <r>
    <x v="228"/>
    <x v="77"/>
    <x v="1"/>
    <x v="2"/>
    <x v="1"/>
    <x v="9"/>
    <n v="1"/>
    <n v="8000"/>
    <n v="2500"/>
    <n v="8000"/>
    <x v="1"/>
  </r>
  <r>
    <x v="229"/>
    <x v="78"/>
    <x v="2"/>
    <x v="1"/>
    <x v="3"/>
    <x v="4"/>
    <n v="2"/>
    <n v="3000"/>
    <n v="1600"/>
    <n v="6000"/>
    <x v="2"/>
  </r>
  <r>
    <x v="230"/>
    <x v="78"/>
    <x v="0"/>
    <x v="2"/>
    <x v="0"/>
    <x v="1"/>
    <n v="2"/>
    <n v="2500"/>
    <n v="1200"/>
    <n v="5000"/>
    <x v="2"/>
  </r>
  <r>
    <x v="231"/>
    <x v="78"/>
    <x v="1"/>
    <x v="0"/>
    <x v="2"/>
    <x v="3"/>
    <n v="2"/>
    <n v="3000"/>
    <n v="1600"/>
    <n v="6000"/>
    <x v="2"/>
  </r>
  <r>
    <x v="232"/>
    <x v="78"/>
    <x v="1"/>
    <x v="2"/>
    <x v="2"/>
    <x v="3"/>
    <n v="1"/>
    <n v="3000"/>
    <n v="800"/>
    <n v="3000"/>
    <x v="2"/>
  </r>
  <r>
    <x v="233"/>
    <x v="78"/>
    <x v="0"/>
    <x v="2"/>
    <x v="3"/>
    <x v="12"/>
    <n v="1"/>
    <n v="2500"/>
    <n v="700"/>
    <n v="2500"/>
    <x v="2"/>
  </r>
  <r>
    <x v="234"/>
    <x v="79"/>
    <x v="2"/>
    <x v="1"/>
    <x v="2"/>
    <x v="8"/>
    <n v="1"/>
    <n v="5000"/>
    <n v="1500"/>
    <n v="5000"/>
    <x v="2"/>
  </r>
  <r>
    <x v="235"/>
    <x v="79"/>
    <x v="0"/>
    <x v="2"/>
    <x v="3"/>
    <x v="6"/>
    <n v="1"/>
    <n v="5000"/>
    <n v="1500"/>
    <n v="5000"/>
    <x v="1"/>
  </r>
  <r>
    <x v="236"/>
    <x v="79"/>
    <x v="2"/>
    <x v="1"/>
    <x v="2"/>
    <x v="3"/>
    <n v="2"/>
    <n v="3000"/>
    <n v="1600"/>
    <n v="6000"/>
    <x v="1"/>
  </r>
  <r>
    <x v="237"/>
    <x v="79"/>
    <x v="0"/>
    <x v="2"/>
    <x v="2"/>
    <x v="8"/>
    <n v="2"/>
    <n v="5000"/>
    <n v="3000"/>
    <n v="10000"/>
    <x v="1"/>
  </r>
  <r>
    <x v="238"/>
    <x v="80"/>
    <x v="2"/>
    <x v="2"/>
    <x v="1"/>
    <x v="2"/>
    <n v="1"/>
    <n v="7500"/>
    <n v="2200"/>
    <n v="7500"/>
    <x v="1"/>
  </r>
  <r>
    <x v="239"/>
    <x v="80"/>
    <x v="0"/>
    <x v="1"/>
    <x v="1"/>
    <x v="11"/>
    <n v="2"/>
    <n v="7000"/>
    <n v="4000"/>
    <n v="14000"/>
    <x v="1"/>
  </r>
  <r>
    <x v="240"/>
    <x v="80"/>
    <x v="0"/>
    <x v="2"/>
    <x v="3"/>
    <x v="12"/>
    <n v="1"/>
    <n v="2500"/>
    <n v="700"/>
    <n v="2500"/>
    <x v="1"/>
  </r>
  <r>
    <x v="241"/>
    <x v="81"/>
    <x v="2"/>
    <x v="2"/>
    <x v="1"/>
    <x v="9"/>
    <n v="2"/>
    <n v="8000"/>
    <n v="5000"/>
    <n v="16000"/>
    <x v="1"/>
  </r>
  <r>
    <x v="242"/>
    <x v="81"/>
    <x v="0"/>
    <x v="0"/>
    <x v="1"/>
    <x v="7"/>
    <n v="2"/>
    <n v="2500"/>
    <n v="1000"/>
    <n v="5000"/>
    <x v="0"/>
  </r>
  <r>
    <x v="243"/>
    <x v="82"/>
    <x v="2"/>
    <x v="1"/>
    <x v="1"/>
    <x v="11"/>
    <n v="1"/>
    <n v="7000"/>
    <n v="2000"/>
    <n v="7000"/>
    <x v="2"/>
  </r>
  <r>
    <x v="244"/>
    <x v="83"/>
    <x v="2"/>
    <x v="1"/>
    <x v="0"/>
    <x v="0"/>
    <n v="1"/>
    <n v="6000"/>
    <n v="1800"/>
    <n v="6000"/>
    <x v="0"/>
  </r>
  <r>
    <x v="245"/>
    <x v="84"/>
    <x v="1"/>
    <x v="0"/>
    <x v="0"/>
    <x v="0"/>
    <n v="1"/>
    <n v="6000"/>
    <n v="1800"/>
    <n v="6000"/>
    <x v="1"/>
  </r>
  <r>
    <x v="246"/>
    <x v="84"/>
    <x v="1"/>
    <x v="1"/>
    <x v="1"/>
    <x v="2"/>
    <n v="2"/>
    <n v="7500"/>
    <n v="4400"/>
    <n v="15000"/>
    <x v="0"/>
  </r>
  <r>
    <x v="247"/>
    <x v="84"/>
    <x v="1"/>
    <x v="2"/>
    <x v="0"/>
    <x v="0"/>
    <n v="2"/>
    <n v="6000"/>
    <n v="3600"/>
    <n v="12000"/>
    <x v="0"/>
  </r>
  <r>
    <x v="248"/>
    <x v="84"/>
    <x v="0"/>
    <x v="0"/>
    <x v="1"/>
    <x v="9"/>
    <n v="1"/>
    <n v="8000"/>
    <n v="2500"/>
    <n v="8000"/>
    <x v="0"/>
  </r>
  <r>
    <x v="249"/>
    <x v="84"/>
    <x v="1"/>
    <x v="0"/>
    <x v="1"/>
    <x v="7"/>
    <n v="1"/>
    <n v="2500"/>
    <n v="500"/>
    <n v="2500"/>
    <x v="1"/>
  </r>
  <r>
    <x v="250"/>
    <x v="84"/>
    <x v="2"/>
    <x v="2"/>
    <x v="3"/>
    <x v="6"/>
    <n v="1"/>
    <n v="5000"/>
    <n v="1500"/>
    <n v="5000"/>
    <x v="0"/>
  </r>
  <r>
    <x v="251"/>
    <x v="84"/>
    <x v="2"/>
    <x v="2"/>
    <x v="2"/>
    <x v="5"/>
    <n v="1"/>
    <n v="4000"/>
    <n v="1000"/>
    <n v="4000"/>
    <x v="2"/>
  </r>
  <r>
    <x v="252"/>
    <x v="85"/>
    <x v="1"/>
    <x v="0"/>
    <x v="3"/>
    <x v="4"/>
    <n v="2"/>
    <n v="3000"/>
    <n v="1600"/>
    <n v="6000"/>
    <x v="2"/>
  </r>
  <r>
    <x v="253"/>
    <x v="85"/>
    <x v="0"/>
    <x v="0"/>
    <x v="0"/>
    <x v="1"/>
    <n v="2"/>
    <n v="2500"/>
    <n v="1200"/>
    <n v="5000"/>
    <x v="1"/>
  </r>
  <r>
    <x v="254"/>
    <x v="85"/>
    <x v="1"/>
    <x v="0"/>
    <x v="0"/>
    <x v="0"/>
    <n v="1"/>
    <n v="6000"/>
    <n v="1800"/>
    <n v="6000"/>
    <x v="1"/>
  </r>
  <r>
    <x v="255"/>
    <x v="86"/>
    <x v="1"/>
    <x v="0"/>
    <x v="0"/>
    <x v="1"/>
    <n v="1"/>
    <n v="2500"/>
    <n v="600"/>
    <n v="2500"/>
    <x v="0"/>
  </r>
  <r>
    <x v="256"/>
    <x v="86"/>
    <x v="0"/>
    <x v="1"/>
    <x v="2"/>
    <x v="5"/>
    <n v="2"/>
    <n v="4000"/>
    <n v="2000"/>
    <n v="8000"/>
    <x v="1"/>
  </r>
  <r>
    <x v="257"/>
    <x v="86"/>
    <x v="2"/>
    <x v="0"/>
    <x v="3"/>
    <x v="6"/>
    <n v="1"/>
    <n v="5000"/>
    <n v="1500"/>
    <n v="5000"/>
    <x v="2"/>
  </r>
  <r>
    <x v="258"/>
    <x v="87"/>
    <x v="0"/>
    <x v="2"/>
    <x v="0"/>
    <x v="0"/>
    <n v="2"/>
    <n v="6000"/>
    <n v="3600"/>
    <n v="12000"/>
    <x v="1"/>
  </r>
  <r>
    <x v="259"/>
    <x v="87"/>
    <x v="1"/>
    <x v="1"/>
    <x v="0"/>
    <x v="1"/>
    <n v="2"/>
    <n v="2500"/>
    <n v="1200"/>
    <n v="5000"/>
    <x v="1"/>
  </r>
  <r>
    <x v="260"/>
    <x v="87"/>
    <x v="2"/>
    <x v="2"/>
    <x v="0"/>
    <x v="1"/>
    <n v="2"/>
    <n v="2500"/>
    <n v="1200"/>
    <n v="5000"/>
    <x v="1"/>
  </r>
  <r>
    <x v="261"/>
    <x v="87"/>
    <x v="2"/>
    <x v="0"/>
    <x v="0"/>
    <x v="0"/>
    <n v="1"/>
    <n v="6000"/>
    <n v="1800"/>
    <n v="6000"/>
    <x v="1"/>
  </r>
  <r>
    <x v="262"/>
    <x v="87"/>
    <x v="2"/>
    <x v="1"/>
    <x v="0"/>
    <x v="10"/>
    <n v="1"/>
    <n v="3000"/>
    <n v="700"/>
    <n v="3000"/>
    <x v="0"/>
  </r>
  <r>
    <x v="263"/>
    <x v="88"/>
    <x v="2"/>
    <x v="2"/>
    <x v="3"/>
    <x v="4"/>
    <n v="2"/>
    <n v="3000"/>
    <n v="1600"/>
    <n v="6000"/>
    <x v="1"/>
  </r>
  <r>
    <x v="264"/>
    <x v="88"/>
    <x v="1"/>
    <x v="1"/>
    <x v="2"/>
    <x v="5"/>
    <n v="2"/>
    <n v="4000"/>
    <n v="2000"/>
    <n v="8000"/>
    <x v="1"/>
  </r>
  <r>
    <x v="265"/>
    <x v="88"/>
    <x v="0"/>
    <x v="0"/>
    <x v="2"/>
    <x v="3"/>
    <n v="1"/>
    <n v="3000"/>
    <n v="800"/>
    <n v="3000"/>
    <x v="0"/>
  </r>
  <r>
    <x v="266"/>
    <x v="88"/>
    <x v="2"/>
    <x v="0"/>
    <x v="3"/>
    <x v="12"/>
    <n v="1"/>
    <n v="2500"/>
    <n v="700"/>
    <n v="2500"/>
    <x v="2"/>
  </r>
  <r>
    <x v="267"/>
    <x v="89"/>
    <x v="2"/>
    <x v="1"/>
    <x v="1"/>
    <x v="2"/>
    <n v="2"/>
    <n v="7500"/>
    <n v="4400"/>
    <n v="15000"/>
    <x v="0"/>
  </r>
  <r>
    <x v="268"/>
    <x v="89"/>
    <x v="0"/>
    <x v="0"/>
    <x v="2"/>
    <x v="5"/>
    <n v="1"/>
    <n v="4000"/>
    <n v="1000"/>
    <n v="4000"/>
    <x v="2"/>
  </r>
  <r>
    <x v="269"/>
    <x v="89"/>
    <x v="1"/>
    <x v="0"/>
    <x v="1"/>
    <x v="2"/>
    <n v="1"/>
    <n v="7500"/>
    <n v="2200"/>
    <n v="7500"/>
    <x v="1"/>
  </r>
  <r>
    <x v="270"/>
    <x v="90"/>
    <x v="0"/>
    <x v="1"/>
    <x v="2"/>
    <x v="3"/>
    <n v="1"/>
    <n v="3000"/>
    <n v="800"/>
    <n v="3000"/>
    <x v="0"/>
  </r>
  <r>
    <x v="271"/>
    <x v="90"/>
    <x v="2"/>
    <x v="1"/>
    <x v="1"/>
    <x v="7"/>
    <n v="1"/>
    <n v="2500"/>
    <n v="500"/>
    <n v="2500"/>
    <x v="2"/>
  </r>
  <r>
    <x v="272"/>
    <x v="90"/>
    <x v="2"/>
    <x v="0"/>
    <x v="1"/>
    <x v="2"/>
    <n v="1"/>
    <n v="7500"/>
    <n v="2200"/>
    <n v="7500"/>
    <x v="0"/>
  </r>
  <r>
    <x v="273"/>
    <x v="90"/>
    <x v="0"/>
    <x v="1"/>
    <x v="2"/>
    <x v="5"/>
    <n v="2"/>
    <n v="4000"/>
    <n v="2000"/>
    <n v="8000"/>
    <x v="1"/>
  </r>
  <r>
    <x v="274"/>
    <x v="91"/>
    <x v="1"/>
    <x v="1"/>
    <x v="3"/>
    <x v="4"/>
    <n v="1"/>
    <n v="3000"/>
    <n v="800"/>
    <n v="3000"/>
    <x v="1"/>
  </r>
  <r>
    <x v="275"/>
    <x v="91"/>
    <x v="2"/>
    <x v="2"/>
    <x v="0"/>
    <x v="0"/>
    <n v="1"/>
    <n v="6000"/>
    <n v="1800"/>
    <n v="6000"/>
    <x v="2"/>
  </r>
  <r>
    <x v="276"/>
    <x v="92"/>
    <x v="0"/>
    <x v="0"/>
    <x v="2"/>
    <x v="8"/>
    <n v="2"/>
    <n v="5000"/>
    <n v="3000"/>
    <n v="10000"/>
    <x v="2"/>
  </r>
  <r>
    <x v="277"/>
    <x v="92"/>
    <x v="0"/>
    <x v="2"/>
    <x v="1"/>
    <x v="11"/>
    <n v="1"/>
    <n v="7000"/>
    <n v="2000"/>
    <n v="7000"/>
    <x v="2"/>
  </r>
  <r>
    <x v="278"/>
    <x v="92"/>
    <x v="0"/>
    <x v="2"/>
    <x v="1"/>
    <x v="11"/>
    <n v="1"/>
    <n v="7000"/>
    <n v="2000"/>
    <n v="7000"/>
    <x v="2"/>
  </r>
  <r>
    <x v="279"/>
    <x v="92"/>
    <x v="1"/>
    <x v="0"/>
    <x v="1"/>
    <x v="2"/>
    <n v="1"/>
    <n v="7500"/>
    <n v="2200"/>
    <n v="7500"/>
    <x v="2"/>
  </r>
  <r>
    <x v="280"/>
    <x v="93"/>
    <x v="2"/>
    <x v="2"/>
    <x v="2"/>
    <x v="3"/>
    <n v="2"/>
    <n v="3000"/>
    <n v="1600"/>
    <n v="6000"/>
    <x v="2"/>
  </r>
  <r>
    <x v="281"/>
    <x v="93"/>
    <x v="2"/>
    <x v="1"/>
    <x v="1"/>
    <x v="7"/>
    <n v="1"/>
    <n v="2500"/>
    <n v="500"/>
    <n v="2500"/>
    <x v="1"/>
  </r>
  <r>
    <x v="282"/>
    <x v="94"/>
    <x v="0"/>
    <x v="1"/>
    <x v="1"/>
    <x v="11"/>
    <n v="1"/>
    <n v="7000"/>
    <n v="2000"/>
    <n v="7000"/>
    <x v="1"/>
  </r>
  <r>
    <x v="283"/>
    <x v="95"/>
    <x v="1"/>
    <x v="2"/>
    <x v="1"/>
    <x v="2"/>
    <n v="1"/>
    <n v="7500"/>
    <n v="2200"/>
    <n v="7500"/>
    <x v="1"/>
  </r>
  <r>
    <x v="284"/>
    <x v="95"/>
    <x v="2"/>
    <x v="2"/>
    <x v="3"/>
    <x v="4"/>
    <n v="1"/>
    <n v="3000"/>
    <n v="800"/>
    <n v="3000"/>
    <x v="2"/>
  </r>
  <r>
    <x v="285"/>
    <x v="96"/>
    <x v="1"/>
    <x v="0"/>
    <x v="2"/>
    <x v="3"/>
    <n v="1"/>
    <n v="3000"/>
    <n v="800"/>
    <n v="3000"/>
    <x v="2"/>
  </r>
  <r>
    <x v="286"/>
    <x v="97"/>
    <x v="0"/>
    <x v="2"/>
    <x v="2"/>
    <x v="3"/>
    <n v="2"/>
    <n v="3000"/>
    <n v="1600"/>
    <n v="6000"/>
    <x v="2"/>
  </r>
  <r>
    <x v="287"/>
    <x v="97"/>
    <x v="2"/>
    <x v="2"/>
    <x v="3"/>
    <x v="4"/>
    <n v="2"/>
    <n v="3000"/>
    <n v="1600"/>
    <n v="6000"/>
    <x v="1"/>
  </r>
  <r>
    <x v="288"/>
    <x v="98"/>
    <x v="0"/>
    <x v="1"/>
    <x v="0"/>
    <x v="0"/>
    <n v="1"/>
    <n v="6000"/>
    <n v="1800"/>
    <n v="6000"/>
    <x v="2"/>
  </r>
  <r>
    <x v="289"/>
    <x v="99"/>
    <x v="0"/>
    <x v="1"/>
    <x v="0"/>
    <x v="1"/>
    <n v="1"/>
    <n v="2500"/>
    <n v="600"/>
    <n v="2500"/>
    <x v="2"/>
  </r>
  <r>
    <x v="290"/>
    <x v="100"/>
    <x v="2"/>
    <x v="2"/>
    <x v="3"/>
    <x v="6"/>
    <n v="1"/>
    <n v="5000"/>
    <n v="1500"/>
    <n v="5000"/>
    <x v="1"/>
  </r>
  <r>
    <x v="291"/>
    <x v="100"/>
    <x v="2"/>
    <x v="0"/>
    <x v="1"/>
    <x v="9"/>
    <n v="2"/>
    <n v="8000"/>
    <n v="5000"/>
    <n v="16000"/>
    <x v="0"/>
  </r>
  <r>
    <x v="292"/>
    <x v="100"/>
    <x v="2"/>
    <x v="0"/>
    <x v="0"/>
    <x v="0"/>
    <n v="2"/>
    <n v="6000"/>
    <n v="3600"/>
    <n v="12000"/>
    <x v="1"/>
  </r>
  <r>
    <x v="293"/>
    <x v="101"/>
    <x v="1"/>
    <x v="1"/>
    <x v="3"/>
    <x v="6"/>
    <n v="1"/>
    <n v="5000"/>
    <n v="1500"/>
    <n v="5000"/>
    <x v="2"/>
  </r>
  <r>
    <x v="294"/>
    <x v="101"/>
    <x v="1"/>
    <x v="2"/>
    <x v="1"/>
    <x v="2"/>
    <n v="1"/>
    <n v="7500"/>
    <n v="2200"/>
    <n v="7500"/>
    <x v="2"/>
  </r>
  <r>
    <x v="295"/>
    <x v="101"/>
    <x v="0"/>
    <x v="2"/>
    <x v="3"/>
    <x v="4"/>
    <n v="1"/>
    <n v="3000"/>
    <n v="800"/>
    <n v="3000"/>
    <x v="0"/>
  </r>
  <r>
    <x v="296"/>
    <x v="101"/>
    <x v="2"/>
    <x v="2"/>
    <x v="0"/>
    <x v="1"/>
    <n v="1"/>
    <n v="2500"/>
    <n v="600"/>
    <n v="2500"/>
    <x v="2"/>
  </r>
  <r>
    <x v="297"/>
    <x v="101"/>
    <x v="1"/>
    <x v="0"/>
    <x v="2"/>
    <x v="8"/>
    <n v="1"/>
    <n v="5000"/>
    <n v="1500"/>
    <n v="5000"/>
    <x v="1"/>
  </r>
  <r>
    <x v="298"/>
    <x v="102"/>
    <x v="1"/>
    <x v="0"/>
    <x v="1"/>
    <x v="2"/>
    <n v="1"/>
    <n v="7500"/>
    <n v="2200"/>
    <n v="7500"/>
    <x v="1"/>
  </r>
  <r>
    <x v="299"/>
    <x v="102"/>
    <x v="1"/>
    <x v="1"/>
    <x v="3"/>
    <x v="12"/>
    <n v="1"/>
    <n v="2500"/>
    <n v="700"/>
    <n v="2500"/>
    <x v="1"/>
  </r>
  <r>
    <x v="300"/>
    <x v="102"/>
    <x v="1"/>
    <x v="2"/>
    <x v="0"/>
    <x v="0"/>
    <n v="1"/>
    <n v="6000"/>
    <n v="1800"/>
    <n v="6000"/>
    <x v="0"/>
  </r>
  <r>
    <x v="301"/>
    <x v="102"/>
    <x v="2"/>
    <x v="1"/>
    <x v="2"/>
    <x v="8"/>
    <n v="2"/>
    <n v="5000"/>
    <n v="3000"/>
    <n v="10000"/>
    <x v="2"/>
  </r>
  <r>
    <x v="302"/>
    <x v="102"/>
    <x v="2"/>
    <x v="1"/>
    <x v="2"/>
    <x v="5"/>
    <n v="1"/>
    <n v="4000"/>
    <n v="1000"/>
    <n v="4000"/>
    <x v="2"/>
  </r>
  <r>
    <x v="303"/>
    <x v="103"/>
    <x v="0"/>
    <x v="0"/>
    <x v="1"/>
    <x v="7"/>
    <n v="2"/>
    <n v="2500"/>
    <n v="1000"/>
    <n v="5000"/>
    <x v="1"/>
  </r>
  <r>
    <x v="304"/>
    <x v="103"/>
    <x v="0"/>
    <x v="0"/>
    <x v="2"/>
    <x v="3"/>
    <n v="1"/>
    <n v="3000"/>
    <n v="800"/>
    <n v="3000"/>
    <x v="1"/>
  </r>
  <r>
    <x v="305"/>
    <x v="104"/>
    <x v="0"/>
    <x v="1"/>
    <x v="3"/>
    <x v="4"/>
    <n v="2"/>
    <n v="3000"/>
    <n v="1600"/>
    <n v="6000"/>
    <x v="2"/>
  </r>
  <r>
    <x v="306"/>
    <x v="105"/>
    <x v="1"/>
    <x v="2"/>
    <x v="3"/>
    <x v="6"/>
    <n v="1"/>
    <n v="5000"/>
    <n v="1500"/>
    <n v="5000"/>
    <x v="0"/>
  </r>
  <r>
    <x v="307"/>
    <x v="106"/>
    <x v="2"/>
    <x v="0"/>
    <x v="0"/>
    <x v="0"/>
    <n v="1"/>
    <n v="6000"/>
    <n v="1800"/>
    <n v="6000"/>
    <x v="0"/>
  </r>
  <r>
    <x v="308"/>
    <x v="106"/>
    <x v="2"/>
    <x v="1"/>
    <x v="3"/>
    <x v="6"/>
    <n v="2"/>
    <n v="5000"/>
    <n v="3000"/>
    <n v="10000"/>
    <x v="0"/>
  </r>
  <r>
    <x v="309"/>
    <x v="106"/>
    <x v="1"/>
    <x v="1"/>
    <x v="1"/>
    <x v="2"/>
    <n v="1"/>
    <n v="7500"/>
    <n v="2200"/>
    <n v="7500"/>
    <x v="0"/>
  </r>
  <r>
    <x v="310"/>
    <x v="106"/>
    <x v="1"/>
    <x v="2"/>
    <x v="1"/>
    <x v="9"/>
    <n v="1"/>
    <n v="8000"/>
    <n v="2500"/>
    <n v="8000"/>
    <x v="2"/>
  </r>
  <r>
    <x v="311"/>
    <x v="106"/>
    <x v="2"/>
    <x v="0"/>
    <x v="2"/>
    <x v="8"/>
    <n v="2"/>
    <n v="5000"/>
    <n v="3000"/>
    <n v="10000"/>
    <x v="2"/>
  </r>
  <r>
    <x v="312"/>
    <x v="106"/>
    <x v="1"/>
    <x v="1"/>
    <x v="1"/>
    <x v="7"/>
    <n v="1"/>
    <n v="2500"/>
    <n v="500"/>
    <n v="2500"/>
    <x v="1"/>
  </r>
  <r>
    <x v="313"/>
    <x v="106"/>
    <x v="2"/>
    <x v="0"/>
    <x v="0"/>
    <x v="0"/>
    <n v="1"/>
    <n v="6000"/>
    <n v="1800"/>
    <n v="6000"/>
    <x v="2"/>
  </r>
  <r>
    <x v="314"/>
    <x v="107"/>
    <x v="2"/>
    <x v="1"/>
    <x v="2"/>
    <x v="8"/>
    <n v="1"/>
    <n v="5000"/>
    <n v="1500"/>
    <n v="5000"/>
    <x v="0"/>
  </r>
  <r>
    <x v="315"/>
    <x v="107"/>
    <x v="0"/>
    <x v="2"/>
    <x v="1"/>
    <x v="9"/>
    <n v="1"/>
    <n v="8000"/>
    <n v="2500"/>
    <n v="8000"/>
    <x v="1"/>
  </r>
  <r>
    <x v="316"/>
    <x v="107"/>
    <x v="0"/>
    <x v="1"/>
    <x v="3"/>
    <x v="4"/>
    <n v="1"/>
    <n v="3000"/>
    <n v="800"/>
    <n v="3000"/>
    <x v="2"/>
  </r>
  <r>
    <x v="317"/>
    <x v="108"/>
    <x v="2"/>
    <x v="2"/>
    <x v="3"/>
    <x v="12"/>
    <n v="1"/>
    <n v="2500"/>
    <n v="700"/>
    <n v="2500"/>
    <x v="1"/>
  </r>
  <r>
    <x v="318"/>
    <x v="108"/>
    <x v="2"/>
    <x v="0"/>
    <x v="1"/>
    <x v="9"/>
    <n v="1"/>
    <n v="8000"/>
    <n v="2500"/>
    <n v="8000"/>
    <x v="0"/>
  </r>
  <r>
    <x v="319"/>
    <x v="108"/>
    <x v="0"/>
    <x v="1"/>
    <x v="1"/>
    <x v="7"/>
    <n v="1"/>
    <n v="2500"/>
    <n v="500"/>
    <n v="2500"/>
    <x v="2"/>
  </r>
  <r>
    <x v="320"/>
    <x v="109"/>
    <x v="2"/>
    <x v="2"/>
    <x v="2"/>
    <x v="5"/>
    <n v="1"/>
    <n v="4000"/>
    <n v="1000"/>
    <n v="4000"/>
    <x v="0"/>
  </r>
  <r>
    <x v="321"/>
    <x v="109"/>
    <x v="0"/>
    <x v="0"/>
    <x v="0"/>
    <x v="10"/>
    <n v="2"/>
    <n v="3000"/>
    <n v="1400"/>
    <n v="6000"/>
    <x v="0"/>
  </r>
  <r>
    <x v="322"/>
    <x v="109"/>
    <x v="2"/>
    <x v="1"/>
    <x v="1"/>
    <x v="2"/>
    <n v="1"/>
    <n v="7500"/>
    <n v="2200"/>
    <n v="7500"/>
    <x v="0"/>
  </r>
  <r>
    <x v="323"/>
    <x v="109"/>
    <x v="0"/>
    <x v="0"/>
    <x v="3"/>
    <x v="4"/>
    <n v="1"/>
    <n v="3000"/>
    <n v="800"/>
    <n v="3000"/>
    <x v="1"/>
  </r>
  <r>
    <x v="324"/>
    <x v="110"/>
    <x v="1"/>
    <x v="1"/>
    <x v="2"/>
    <x v="8"/>
    <n v="1"/>
    <n v="5000"/>
    <n v="1500"/>
    <n v="5000"/>
    <x v="0"/>
  </r>
  <r>
    <x v="325"/>
    <x v="110"/>
    <x v="2"/>
    <x v="0"/>
    <x v="0"/>
    <x v="10"/>
    <n v="2"/>
    <n v="3000"/>
    <n v="1400"/>
    <n v="6000"/>
    <x v="0"/>
  </r>
  <r>
    <x v="326"/>
    <x v="110"/>
    <x v="2"/>
    <x v="1"/>
    <x v="0"/>
    <x v="0"/>
    <n v="1"/>
    <n v="6000"/>
    <n v="1800"/>
    <n v="6000"/>
    <x v="1"/>
  </r>
  <r>
    <x v="327"/>
    <x v="111"/>
    <x v="2"/>
    <x v="1"/>
    <x v="2"/>
    <x v="5"/>
    <n v="1"/>
    <n v="4000"/>
    <n v="1000"/>
    <n v="4000"/>
    <x v="0"/>
  </r>
  <r>
    <x v="328"/>
    <x v="111"/>
    <x v="1"/>
    <x v="2"/>
    <x v="1"/>
    <x v="2"/>
    <n v="1"/>
    <n v="7500"/>
    <n v="2200"/>
    <n v="7500"/>
    <x v="2"/>
  </r>
  <r>
    <x v="329"/>
    <x v="112"/>
    <x v="2"/>
    <x v="1"/>
    <x v="0"/>
    <x v="10"/>
    <n v="1"/>
    <n v="3000"/>
    <n v="700"/>
    <n v="3000"/>
    <x v="2"/>
  </r>
  <r>
    <x v="330"/>
    <x v="112"/>
    <x v="0"/>
    <x v="1"/>
    <x v="1"/>
    <x v="7"/>
    <n v="1"/>
    <n v="2500"/>
    <n v="500"/>
    <n v="2500"/>
    <x v="1"/>
  </r>
  <r>
    <x v="331"/>
    <x v="113"/>
    <x v="1"/>
    <x v="1"/>
    <x v="3"/>
    <x v="4"/>
    <n v="1"/>
    <n v="3000"/>
    <n v="800"/>
    <n v="3000"/>
    <x v="1"/>
  </r>
  <r>
    <x v="332"/>
    <x v="113"/>
    <x v="2"/>
    <x v="2"/>
    <x v="2"/>
    <x v="3"/>
    <n v="1"/>
    <n v="3000"/>
    <n v="800"/>
    <n v="3000"/>
    <x v="1"/>
  </r>
  <r>
    <x v="333"/>
    <x v="113"/>
    <x v="1"/>
    <x v="0"/>
    <x v="3"/>
    <x v="12"/>
    <n v="1"/>
    <n v="2500"/>
    <n v="700"/>
    <n v="2500"/>
    <x v="1"/>
  </r>
  <r>
    <x v="334"/>
    <x v="114"/>
    <x v="2"/>
    <x v="1"/>
    <x v="1"/>
    <x v="2"/>
    <n v="2"/>
    <n v="7500"/>
    <n v="4400"/>
    <n v="15000"/>
    <x v="2"/>
  </r>
  <r>
    <x v="335"/>
    <x v="114"/>
    <x v="2"/>
    <x v="2"/>
    <x v="3"/>
    <x v="12"/>
    <n v="1"/>
    <n v="2500"/>
    <n v="700"/>
    <n v="2500"/>
    <x v="2"/>
  </r>
  <r>
    <x v="336"/>
    <x v="114"/>
    <x v="2"/>
    <x v="0"/>
    <x v="2"/>
    <x v="5"/>
    <n v="1"/>
    <n v="4000"/>
    <n v="1000"/>
    <n v="4000"/>
    <x v="2"/>
  </r>
  <r>
    <x v="337"/>
    <x v="114"/>
    <x v="0"/>
    <x v="2"/>
    <x v="2"/>
    <x v="3"/>
    <n v="2"/>
    <n v="3000"/>
    <n v="1600"/>
    <n v="6000"/>
    <x v="0"/>
  </r>
  <r>
    <x v="338"/>
    <x v="114"/>
    <x v="2"/>
    <x v="2"/>
    <x v="0"/>
    <x v="0"/>
    <n v="1"/>
    <n v="6000"/>
    <n v="1800"/>
    <n v="6000"/>
    <x v="1"/>
  </r>
  <r>
    <x v="339"/>
    <x v="115"/>
    <x v="2"/>
    <x v="0"/>
    <x v="1"/>
    <x v="2"/>
    <n v="1"/>
    <n v="7500"/>
    <n v="2200"/>
    <n v="7500"/>
    <x v="0"/>
  </r>
  <r>
    <x v="340"/>
    <x v="115"/>
    <x v="2"/>
    <x v="2"/>
    <x v="1"/>
    <x v="11"/>
    <n v="1"/>
    <n v="7000"/>
    <n v="2000"/>
    <n v="7000"/>
    <x v="2"/>
  </r>
  <r>
    <x v="341"/>
    <x v="115"/>
    <x v="0"/>
    <x v="1"/>
    <x v="0"/>
    <x v="0"/>
    <n v="1"/>
    <n v="6000"/>
    <n v="1800"/>
    <n v="6000"/>
    <x v="0"/>
  </r>
  <r>
    <x v="342"/>
    <x v="115"/>
    <x v="1"/>
    <x v="2"/>
    <x v="2"/>
    <x v="3"/>
    <n v="1"/>
    <n v="3000"/>
    <n v="800"/>
    <n v="3000"/>
    <x v="0"/>
  </r>
  <r>
    <x v="343"/>
    <x v="116"/>
    <x v="1"/>
    <x v="0"/>
    <x v="0"/>
    <x v="1"/>
    <n v="1"/>
    <n v="2500"/>
    <n v="600"/>
    <n v="2500"/>
    <x v="2"/>
  </r>
  <r>
    <x v="344"/>
    <x v="117"/>
    <x v="1"/>
    <x v="1"/>
    <x v="0"/>
    <x v="0"/>
    <n v="1"/>
    <n v="6000"/>
    <n v="1800"/>
    <n v="6000"/>
    <x v="0"/>
  </r>
  <r>
    <x v="345"/>
    <x v="117"/>
    <x v="0"/>
    <x v="1"/>
    <x v="1"/>
    <x v="2"/>
    <n v="1"/>
    <n v="7500"/>
    <n v="2200"/>
    <n v="7500"/>
    <x v="0"/>
  </r>
  <r>
    <x v="346"/>
    <x v="117"/>
    <x v="0"/>
    <x v="2"/>
    <x v="1"/>
    <x v="11"/>
    <n v="1"/>
    <n v="7000"/>
    <n v="2000"/>
    <n v="7000"/>
    <x v="2"/>
  </r>
  <r>
    <x v="347"/>
    <x v="118"/>
    <x v="1"/>
    <x v="2"/>
    <x v="0"/>
    <x v="10"/>
    <n v="1"/>
    <n v="3000"/>
    <n v="700"/>
    <n v="3000"/>
    <x v="2"/>
  </r>
  <r>
    <x v="348"/>
    <x v="118"/>
    <x v="1"/>
    <x v="2"/>
    <x v="0"/>
    <x v="10"/>
    <n v="1"/>
    <n v="3000"/>
    <n v="700"/>
    <n v="3000"/>
    <x v="2"/>
  </r>
  <r>
    <x v="349"/>
    <x v="118"/>
    <x v="1"/>
    <x v="2"/>
    <x v="3"/>
    <x v="4"/>
    <n v="2"/>
    <n v="3000"/>
    <n v="1600"/>
    <n v="6000"/>
    <x v="0"/>
  </r>
  <r>
    <x v="350"/>
    <x v="119"/>
    <x v="0"/>
    <x v="1"/>
    <x v="1"/>
    <x v="9"/>
    <n v="2"/>
    <n v="8000"/>
    <n v="5000"/>
    <n v="16000"/>
    <x v="0"/>
  </r>
  <r>
    <x v="351"/>
    <x v="120"/>
    <x v="1"/>
    <x v="0"/>
    <x v="2"/>
    <x v="3"/>
    <n v="1"/>
    <n v="3000"/>
    <n v="800"/>
    <n v="3000"/>
    <x v="0"/>
  </r>
  <r>
    <x v="352"/>
    <x v="120"/>
    <x v="0"/>
    <x v="2"/>
    <x v="0"/>
    <x v="10"/>
    <n v="1"/>
    <n v="3000"/>
    <n v="700"/>
    <n v="3000"/>
    <x v="1"/>
  </r>
  <r>
    <x v="353"/>
    <x v="120"/>
    <x v="2"/>
    <x v="1"/>
    <x v="1"/>
    <x v="2"/>
    <n v="1"/>
    <n v="7500"/>
    <n v="2200"/>
    <n v="7500"/>
    <x v="2"/>
  </r>
  <r>
    <x v="354"/>
    <x v="120"/>
    <x v="1"/>
    <x v="1"/>
    <x v="1"/>
    <x v="9"/>
    <n v="1"/>
    <n v="8000"/>
    <n v="2500"/>
    <n v="8000"/>
    <x v="2"/>
  </r>
  <r>
    <x v="355"/>
    <x v="120"/>
    <x v="1"/>
    <x v="1"/>
    <x v="3"/>
    <x v="4"/>
    <n v="1"/>
    <n v="3000"/>
    <n v="800"/>
    <n v="3000"/>
    <x v="1"/>
  </r>
  <r>
    <x v="356"/>
    <x v="121"/>
    <x v="1"/>
    <x v="0"/>
    <x v="0"/>
    <x v="1"/>
    <n v="1"/>
    <n v="2500"/>
    <n v="600"/>
    <n v="2500"/>
    <x v="1"/>
  </r>
  <r>
    <x v="357"/>
    <x v="121"/>
    <x v="1"/>
    <x v="2"/>
    <x v="3"/>
    <x v="6"/>
    <n v="1"/>
    <n v="5000"/>
    <n v="1500"/>
    <n v="5000"/>
    <x v="2"/>
  </r>
  <r>
    <x v="358"/>
    <x v="121"/>
    <x v="2"/>
    <x v="2"/>
    <x v="2"/>
    <x v="3"/>
    <n v="1"/>
    <n v="3000"/>
    <n v="800"/>
    <n v="3000"/>
    <x v="2"/>
  </r>
  <r>
    <x v="359"/>
    <x v="122"/>
    <x v="0"/>
    <x v="2"/>
    <x v="0"/>
    <x v="10"/>
    <n v="1"/>
    <n v="3000"/>
    <n v="700"/>
    <n v="3000"/>
    <x v="2"/>
  </r>
  <r>
    <x v="360"/>
    <x v="122"/>
    <x v="0"/>
    <x v="0"/>
    <x v="1"/>
    <x v="2"/>
    <n v="1"/>
    <n v="7500"/>
    <n v="2200"/>
    <n v="7500"/>
    <x v="0"/>
  </r>
  <r>
    <x v="361"/>
    <x v="122"/>
    <x v="1"/>
    <x v="1"/>
    <x v="3"/>
    <x v="12"/>
    <n v="2"/>
    <n v="2500"/>
    <n v="1400"/>
    <n v="5000"/>
    <x v="1"/>
  </r>
  <r>
    <x v="362"/>
    <x v="122"/>
    <x v="0"/>
    <x v="1"/>
    <x v="1"/>
    <x v="2"/>
    <n v="2"/>
    <n v="7500"/>
    <n v="4400"/>
    <n v="15000"/>
    <x v="2"/>
  </r>
  <r>
    <x v="363"/>
    <x v="123"/>
    <x v="0"/>
    <x v="1"/>
    <x v="1"/>
    <x v="2"/>
    <n v="1"/>
    <n v="7500"/>
    <n v="2200"/>
    <n v="7500"/>
    <x v="2"/>
  </r>
  <r>
    <x v="364"/>
    <x v="123"/>
    <x v="0"/>
    <x v="2"/>
    <x v="0"/>
    <x v="1"/>
    <n v="1"/>
    <n v="2500"/>
    <n v="600"/>
    <n v="2500"/>
    <x v="2"/>
  </r>
  <r>
    <x v="365"/>
    <x v="123"/>
    <x v="2"/>
    <x v="2"/>
    <x v="0"/>
    <x v="10"/>
    <n v="1"/>
    <n v="3000"/>
    <n v="700"/>
    <n v="3000"/>
    <x v="0"/>
  </r>
  <r>
    <x v="366"/>
    <x v="123"/>
    <x v="0"/>
    <x v="1"/>
    <x v="2"/>
    <x v="8"/>
    <n v="1"/>
    <n v="5000"/>
    <n v="1500"/>
    <n v="5000"/>
    <x v="2"/>
  </r>
  <r>
    <x v="367"/>
    <x v="123"/>
    <x v="2"/>
    <x v="0"/>
    <x v="1"/>
    <x v="2"/>
    <n v="2"/>
    <n v="7500"/>
    <n v="4400"/>
    <n v="15000"/>
    <x v="2"/>
  </r>
  <r>
    <x v="368"/>
    <x v="124"/>
    <x v="2"/>
    <x v="2"/>
    <x v="3"/>
    <x v="4"/>
    <n v="1"/>
    <n v="3000"/>
    <n v="800"/>
    <n v="3000"/>
    <x v="0"/>
  </r>
  <r>
    <x v="369"/>
    <x v="124"/>
    <x v="0"/>
    <x v="1"/>
    <x v="2"/>
    <x v="3"/>
    <n v="1"/>
    <n v="3000"/>
    <n v="800"/>
    <n v="3000"/>
    <x v="0"/>
  </r>
  <r>
    <x v="370"/>
    <x v="124"/>
    <x v="2"/>
    <x v="0"/>
    <x v="1"/>
    <x v="7"/>
    <n v="1"/>
    <n v="2500"/>
    <n v="500"/>
    <n v="2500"/>
    <x v="0"/>
  </r>
  <r>
    <x v="371"/>
    <x v="124"/>
    <x v="0"/>
    <x v="0"/>
    <x v="3"/>
    <x v="6"/>
    <n v="1"/>
    <n v="5000"/>
    <n v="1500"/>
    <n v="5000"/>
    <x v="1"/>
  </r>
  <r>
    <x v="372"/>
    <x v="124"/>
    <x v="2"/>
    <x v="0"/>
    <x v="2"/>
    <x v="8"/>
    <n v="1"/>
    <n v="5000"/>
    <n v="1500"/>
    <n v="5000"/>
    <x v="2"/>
  </r>
  <r>
    <x v="373"/>
    <x v="125"/>
    <x v="1"/>
    <x v="2"/>
    <x v="0"/>
    <x v="10"/>
    <n v="1"/>
    <n v="3000"/>
    <n v="700"/>
    <n v="3000"/>
    <x v="1"/>
  </r>
  <r>
    <x v="374"/>
    <x v="125"/>
    <x v="0"/>
    <x v="2"/>
    <x v="1"/>
    <x v="9"/>
    <n v="1"/>
    <n v="8000"/>
    <n v="2500"/>
    <n v="8000"/>
    <x v="2"/>
  </r>
  <r>
    <x v="375"/>
    <x v="125"/>
    <x v="0"/>
    <x v="2"/>
    <x v="2"/>
    <x v="5"/>
    <n v="1"/>
    <n v="4000"/>
    <n v="1000"/>
    <n v="4000"/>
    <x v="2"/>
  </r>
  <r>
    <x v="376"/>
    <x v="126"/>
    <x v="1"/>
    <x v="2"/>
    <x v="0"/>
    <x v="0"/>
    <n v="1"/>
    <n v="6000"/>
    <n v="1800"/>
    <n v="6000"/>
    <x v="2"/>
  </r>
  <r>
    <x v="377"/>
    <x v="126"/>
    <x v="0"/>
    <x v="1"/>
    <x v="0"/>
    <x v="1"/>
    <n v="1"/>
    <n v="2500"/>
    <n v="600"/>
    <n v="2500"/>
    <x v="0"/>
  </r>
  <r>
    <x v="378"/>
    <x v="126"/>
    <x v="2"/>
    <x v="1"/>
    <x v="3"/>
    <x v="12"/>
    <n v="1"/>
    <n v="2500"/>
    <n v="700"/>
    <n v="2500"/>
    <x v="1"/>
  </r>
  <r>
    <x v="379"/>
    <x v="126"/>
    <x v="2"/>
    <x v="1"/>
    <x v="0"/>
    <x v="1"/>
    <n v="2"/>
    <n v="2500"/>
    <n v="1200"/>
    <n v="5000"/>
    <x v="2"/>
  </r>
  <r>
    <x v="380"/>
    <x v="127"/>
    <x v="2"/>
    <x v="2"/>
    <x v="3"/>
    <x v="12"/>
    <n v="1"/>
    <n v="2500"/>
    <n v="700"/>
    <n v="2500"/>
    <x v="0"/>
  </r>
  <r>
    <x v="381"/>
    <x v="127"/>
    <x v="1"/>
    <x v="1"/>
    <x v="2"/>
    <x v="5"/>
    <n v="1"/>
    <n v="4000"/>
    <n v="1000"/>
    <n v="4000"/>
    <x v="2"/>
  </r>
  <r>
    <x v="382"/>
    <x v="128"/>
    <x v="0"/>
    <x v="2"/>
    <x v="1"/>
    <x v="9"/>
    <n v="2"/>
    <n v="8000"/>
    <n v="5000"/>
    <n v="16000"/>
    <x v="1"/>
  </r>
  <r>
    <x v="383"/>
    <x v="128"/>
    <x v="1"/>
    <x v="2"/>
    <x v="0"/>
    <x v="0"/>
    <n v="1"/>
    <n v="6000"/>
    <n v="1800"/>
    <n v="6000"/>
    <x v="2"/>
  </r>
  <r>
    <x v="384"/>
    <x v="128"/>
    <x v="1"/>
    <x v="1"/>
    <x v="3"/>
    <x v="12"/>
    <n v="2"/>
    <n v="2500"/>
    <n v="1400"/>
    <n v="5000"/>
    <x v="0"/>
  </r>
  <r>
    <x v="385"/>
    <x v="129"/>
    <x v="2"/>
    <x v="2"/>
    <x v="3"/>
    <x v="6"/>
    <n v="1"/>
    <n v="5000"/>
    <n v="1500"/>
    <n v="5000"/>
    <x v="0"/>
  </r>
  <r>
    <x v="386"/>
    <x v="129"/>
    <x v="2"/>
    <x v="0"/>
    <x v="0"/>
    <x v="1"/>
    <n v="1"/>
    <n v="2500"/>
    <n v="600"/>
    <n v="2500"/>
    <x v="1"/>
  </r>
  <r>
    <x v="387"/>
    <x v="130"/>
    <x v="1"/>
    <x v="2"/>
    <x v="1"/>
    <x v="11"/>
    <n v="1"/>
    <n v="7000"/>
    <n v="2000"/>
    <n v="7000"/>
    <x v="0"/>
  </r>
  <r>
    <x v="388"/>
    <x v="130"/>
    <x v="2"/>
    <x v="1"/>
    <x v="0"/>
    <x v="0"/>
    <n v="1"/>
    <n v="6000"/>
    <n v="1800"/>
    <n v="6000"/>
    <x v="2"/>
  </r>
  <r>
    <x v="389"/>
    <x v="130"/>
    <x v="2"/>
    <x v="1"/>
    <x v="2"/>
    <x v="3"/>
    <n v="1"/>
    <n v="3000"/>
    <n v="800"/>
    <n v="3000"/>
    <x v="0"/>
  </r>
  <r>
    <x v="390"/>
    <x v="130"/>
    <x v="0"/>
    <x v="2"/>
    <x v="0"/>
    <x v="10"/>
    <n v="1"/>
    <n v="3000"/>
    <n v="700"/>
    <n v="3000"/>
    <x v="1"/>
  </r>
  <r>
    <x v="391"/>
    <x v="130"/>
    <x v="2"/>
    <x v="0"/>
    <x v="1"/>
    <x v="9"/>
    <n v="1"/>
    <n v="8000"/>
    <n v="2500"/>
    <n v="8000"/>
    <x v="1"/>
  </r>
  <r>
    <x v="392"/>
    <x v="130"/>
    <x v="0"/>
    <x v="1"/>
    <x v="3"/>
    <x v="12"/>
    <n v="1"/>
    <n v="2500"/>
    <n v="700"/>
    <n v="2500"/>
    <x v="2"/>
  </r>
  <r>
    <x v="393"/>
    <x v="130"/>
    <x v="2"/>
    <x v="0"/>
    <x v="2"/>
    <x v="5"/>
    <n v="2"/>
    <n v="4000"/>
    <n v="2000"/>
    <n v="8000"/>
    <x v="2"/>
  </r>
  <r>
    <x v="394"/>
    <x v="131"/>
    <x v="2"/>
    <x v="0"/>
    <x v="0"/>
    <x v="10"/>
    <n v="1"/>
    <n v="3000"/>
    <n v="700"/>
    <n v="3000"/>
    <x v="0"/>
  </r>
  <r>
    <x v="395"/>
    <x v="132"/>
    <x v="1"/>
    <x v="0"/>
    <x v="2"/>
    <x v="8"/>
    <n v="1"/>
    <n v="5000"/>
    <n v="1500"/>
    <n v="5000"/>
    <x v="0"/>
  </r>
  <r>
    <x v="396"/>
    <x v="133"/>
    <x v="1"/>
    <x v="0"/>
    <x v="2"/>
    <x v="3"/>
    <n v="1"/>
    <n v="3000"/>
    <n v="800"/>
    <n v="3000"/>
    <x v="1"/>
  </r>
  <r>
    <x v="397"/>
    <x v="133"/>
    <x v="1"/>
    <x v="2"/>
    <x v="2"/>
    <x v="8"/>
    <n v="1"/>
    <n v="5000"/>
    <n v="1500"/>
    <n v="5000"/>
    <x v="1"/>
  </r>
  <r>
    <x v="398"/>
    <x v="133"/>
    <x v="0"/>
    <x v="0"/>
    <x v="2"/>
    <x v="5"/>
    <n v="2"/>
    <n v="4000"/>
    <n v="2000"/>
    <n v="8000"/>
    <x v="0"/>
  </r>
  <r>
    <x v="399"/>
    <x v="134"/>
    <x v="2"/>
    <x v="0"/>
    <x v="0"/>
    <x v="1"/>
    <n v="1"/>
    <n v="2500"/>
    <n v="600"/>
    <n v="2500"/>
    <x v="0"/>
  </r>
  <r>
    <x v="400"/>
    <x v="134"/>
    <x v="1"/>
    <x v="2"/>
    <x v="1"/>
    <x v="11"/>
    <n v="1"/>
    <n v="7000"/>
    <n v="2000"/>
    <n v="7000"/>
    <x v="2"/>
  </r>
  <r>
    <x v="401"/>
    <x v="134"/>
    <x v="0"/>
    <x v="0"/>
    <x v="2"/>
    <x v="5"/>
    <n v="1"/>
    <n v="4000"/>
    <n v="1000"/>
    <n v="4000"/>
    <x v="0"/>
  </r>
  <r>
    <x v="402"/>
    <x v="134"/>
    <x v="2"/>
    <x v="1"/>
    <x v="3"/>
    <x v="12"/>
    <n v="1"/>
    <n v="2500"/>
    <n v="700"/>
    <n v="2500"/>
    <x v="2"/>
  </r>
  <r>
    <x v="403"/>
    <x v="135"/>
    <x v="0"/>
    <x v="2"/>
    <x v="1"/>
    <x v="2"/>
    <n v="1"/>
    <n v="7500"/>
    <n v="2200"/>
    <n v="7500"/>
    <x v="0"/>
  </r>
  <r>
    <x v="404"/>
    <x v="136"/>
    <x v="1"/>
    <x v="0"/>
    <x v="0"/>
    <x v="10"/>
    <n v="2"/>
    <n v="3000"/>
    <n v="1400"/>
    <n v="6000"/>
    <x v="0"/>
  </r>
  <r>
    <x v="405"/>
    <x v="136"/>
    <x v="1"/>
    <x v="1"/>
    <x v="3"/>
    <x v="4"/>
    <n v="2"/>
    <n v="3000"/>
    <n v="1600"/>
    <n v="6000"/>
    <x v="1"/>
  </r>
  <r>
    <x v="406"/>
    <x v="137"/>
    <x v="1"/>
    <x v="2"/>
    <x v="0"/>
    <x v="10"/>
    <n v="1"/>
    <n v="3000"/>
    <n v="700"/>
    <n v="3000"/>
    <x v="0"/>
  </r>
  <r>
    <x v="407"/>
    <x v="137"/>
    <x v="2"/>
    <x v="1"/>
    <x v="0"/>
    <x v="0"/>
    <n v="1"/>
    <n v="6000"/>
    <n v="1800"/>
    <n v="6000"/>
    <x v="0"/>
  </r>
  <r>
    <x v="408"/>
    <x v="138"/>
    <x v="1"/>
    <x v="1"/>
    <x v="0"/>
    <x v="1"/>
    <n v="2"/>
    <n v="2500"/>
    <n v="1200"/>
    <n v="5000"/>
    <x v="1"/>
  </r>
  <r>
    <x v="409"/>
    <x v="138"/>
    <x v="0"/>
    <x v="1"/>
    <x v="2"/>
    <x v="8"/>
    <n v="1"/>
    <n v="5000"/>
    <n v="1500"/>
    <n v="5000"/>
    <x v="0"/>
  </r>
  <r>
    <x v="410"/>
    <x v="139"/>
    <x v="1"/>
    <x v="0"/>
    <x v="3"/>
    <x v="6"/>
    <n v="1"/>
    <n v="5000"/>
    <n v="1500"/>
    <n v="5000"/>
    <x v="2"/>
  </r>
  <r>
    <x v="411"/>
    <x v="139"/>
    <x v="1"/>
    <x v="2"/>
    <x v="2"/>
    <x v="3"/>
    <n v="1"/>
    <n v="3000"/>
    <n v="800"/>
    <n v="3000"/>
    <x v="2"/>
  </r>
  <r>
    <x v="412"/>
    <x v="140"/>
    <x v="1"/>
    <x v="2"/>
    <x v="0"/>
    <x v="1"/>
    <n v="2"/>
    <n v="2500"/>
    <n v="1200"/>
    <n v="5000"/>
    <x v="1"/>
  </r>
  <r>
    <x v="413"/>
    <x v="141"/>
    <x v="2"/>
    <x v="0"/>
    <x v="0"/>
    <x v="1"/>
    <n v="2"/>
    <n v="2500"/>
    <n v="1200"/>
    <n v="5000"/>
    <x v="0"/>
  </r>
  <r>
    <x v="414"/>
    <x v="141"/>
    <x v="0"/>
    <x v="0"/>
    <x v="0"/>
    <x v="10"/>
    <n v="2"/>
    <n v="3000"/>
    <n v="1400"/>
    <n v="6000"/>
    <x v="2"/>
  </r>
  <r>
    <x v="415"/>
    <x v="141"/>
    <x v="2"/>
    <x v="1"/>
    <x v="1"/>
    <x v="9"/>
    <n v="1"/>
    <n v="8000"/>
    <n v="2500"/>
    <n v="8000"/>
    <x v="2"/>
  </r>
  <r>
    <x v="416"/>
    <x v="141"/>
    <x v="1"/>
    <x v="2"/>
    <x v="2"/>
    <x v="8"/>
    <n v="1"/>
    <n v="5000"/>
    <n v="1500"/>
    <n v="5000"/>
    <x v="0"/>
  </r>
  <r>
    <x v="417"/>
    <x v="141"/>
    <x v="1"/>
    <x v="2"/>
    <x v="3"/>
    <x v="12"/>
    <n v="1"/>
    <n v="2500"/>
    <n v="700"/>
    <n v="2500"/>
    <x v="0"/>
  </r>
  <r>
    <x v="418"/>
    <x v="142"/>
    <x v="1"/>
    <x v="0"/>
    <x v="1"/>
    <x v="2"/>
    <n v="1"/>
    <n v="7500"/>
    <n v="2200"/>
    <n v="7500"/>
    <x v="0"/>
  </r>
  <r>
    <x v="419"/>
    <x v="142"/>
    <x v="0"/>
    <x v="0"/>
    <x v="3"/>
    <x v="6"/>
    <n v="1"/>
    <n v="5000"/>
    <n v="1500"/>
    <n v="5000"/>
    <x v="2"/>
  </r>
  <r>
    <x v="420"/>
    <x v="142"/>
    <x v="2"/>
    <x v="0"/>
    <x v="0"/>
    <x v="0"/>
    <n v="2"/>
    <n v="6000"/>
    <n v="3600"/>
    <n v="12000"/>
    <x v="1"/>
  </r>
  <r>
    <x v="421"/>
    <x v="143"/>
    <x v="0"/>
    <x v="1"/>
    <x v="0"/>
    <x v="1"/>
    <n v="1"/>
    <n v="2500"/>
    <n v="600"/>
    <n v="2500"/>
    <x v="2"/>
  </r>
  <r>
    <x v="422"/>
    <x v="143"/>
    <x v="0"/>
    <x v="0"/>
    <x v="0"/>
    <x v="10"/>
    <n v="1"/>
    <n v="3000"/>
    <n v="700"/>
    <n v="3000"/>
    <x v="1"/>
  </r>
  <r>
    <x v="423"/>
    <x v="144"/>
    <x v="1"/>
    <x v="0"/>
    <x v="2"/>
    <x v="8"/>
    <n v="1"/>
    <n v="5000"/>
    <n v="1500"/>
    <n v="5000"/>
    <x v="1"/>
  </r>
  <r>
    <x v="424"/>
    <x v="144"/>
    <x v="1"/>
    <x v="0"/>
    <x v="0"/>
    <x v="10"/>
    <n v="2"/>
    <n v="3000"/>
    <n v="1400"/>
    <n v="6000"/>
    <x v="1"/>
  </r>
  <r>
    <x v="425"/>
    <x v="144"/>
    <x v="1"/>
    <x v="1"/>
    <x v="0"/>
    <x v="1"/>
    <n v="2"/>
    <n v="2500"/>
    <n v="1200"/>
    <n v="5000"/>
    <x v="0"/>
  </r>
  <r>
    <x v="426"/>
    <x v="144"/>
    <x v="2"/>
    <x v="0"/>
    <x v="3"/>
    <x v="4"/>
    <n v="1"/>
    <n v="3000"/>
    <n v="800"/>
    <n v="3000"/>
    <x v="2"/>
  </r>
  <r>
    <x v="427"/>
    <x v="144"/>
    <x v="2"/>
    <x v="1"/>
    <x v="0"/>
    <x v="10"/>
    <n v="1"/>
    <n v="3000"/>
    <n v="700"/>
    <n v="3000"/>
    <x v="2"/>
  </r>
  <r>
    <x v="428"/>
    <x v="145"/>
    <x v="0"/>
    <x v="2"/>
    <x v="3"/>
    <x v="12"/>
    <n v="1"/>
    <n v="2500"/>
    <n v="700"/>
    <n v="2500"/>
    <x v="1"/>
  </r>
  <r>
    <x v="429"/>
    <x v="145"/>
    <x v="1"/>
    <x v="1"/>
    <x v="0"/>
    <x v="1"/>
    <n v="1"/>
    <n v="2500"/>
    <n v="600"/>
    <n v="2500"/>
    <x v="0"/>
  </r>
  <r>
    <x v="430"/>
    <x v="145"/>
    <x v="2"/>
    <x v="2"/>
    <x v="0"/>
    <x v="10"/>
    <n v="1"/>
    <n v="3000"/>
    <n v="700"/>
    <n v="3000"/>
    <x v="0"/>
  </r>
  <r>
    <x v="431"/>
    <x v="146"/>
    <x v="1"/>
    <x v="0"/>
    <x v="0"/>
    <x v="0"/>
    <n v="1"/>
    <n v="6000"/>
    <n v="1800"/>
    <n v="6000"/>
    <x v="0"/>
  </r>
  <r>
    <x v="432"/>
    <x v="147"/>
    <x v="1"/>
    <x v="1"/>
    <x v="3"/>
    <x v="12"/>
    <n v="1"/>
    <n v="2500"/>
    <n v="700"/>
    <n v="2500"/>
    <x v="1"/>
  </r>
  <r>
    <x v="433"/>
    <x v="147"/>
    <x v="1"/>
    <x v="2"/>
    <x v="3"/>
    <x v="12"/>
    <n v="1"/>
    <n v="2500"/>
    <n v="700"/>
    <n v="2500"/>
    <x v="0"/>
  </r>
  <r>
    <x v="434"/>
    <x v="147"/>
    <x v="0"/>
    <x v="1"/>
    <x v="1"/>
    <x v="2"/>
    <n v="2"/>
    <n v="7500"/>
    <n v="4400"/>
    <n v="15000"/>
    <x v="0"/>
  </r>
  <r>
    <x v="435"/>
    <x v="147"/>
    <x v="2"/>
    <x v="0"/>
    <x v="0"/>
    <x v="1"/>
    <n v="2"/>
    <n v="2500"/>
    <n v="1200"/>
    <n v="5000"/>
    <x v="0"/>
  </r>
  <r>
    <x v="436"/>
    <x v="147"/>
    <x v="1"/>
    <x v="0"/>
    <x v="1"/>
    <x v="7"/>
    <n v="2"/>
    <n v="2500"/>
    <n v="1000"/>
    <n v="5000"/>
    <x v="0"/>
  </r>
  <r>
    <x v="437"/>
    <x v="148"/>
    <x v="2"/>
    <x v="2"/>
    <x v="1"/>
    <x v="9"/>
    <n v="1"/>
    <n v="8000"/>
    <n v="2500"/>
    <n v="8000"/>
    <x v="2"/>
  </r>
  <r>
    <x v="438"/>
    <x v="149"/>
    <x v="1"/>
    <x v="2"/>
    <x v="1"/>
    <x v="7"/>
    <n v="1"/>
    <n v="2500"/>
    <n v="500"/>
    <n v="2500"/>
    <x v="0"/>
  </r>
  <r>
    <x v="439"/>
    <x v="149"/>
    <x v="0"/>
    <x v="2"/>
    <x v="1"/>
    <x v="9"/>
    <n v="2"/>
    <n v="8000"/>
    <n v="5000"/>
    <n v="16000"/>
    <x v="1"/>
  </r>
  <r>
    <x v="440"/>
    <x v="150"/>
    <x v="0"/>
    <x v="0"/>
    <x v="1"/>
    <x v="9"/>
    <n v="1"/>
    <n v="8000"/>
    <n v="2500"/>
    <n v="8000"/>
    <x v="1"/>
  </r>
  <r>
    <x v="441"/>
    <x v="150"/>
    <x v="2"/>
    <x v="2"/>
    <x v="0"/>
    <x v="0"/>
    <n v="1"/>
    <n v="6000"/>
    <n v="1800"/>
    <n v="6000"/>
    <x v="1"/>
  </r>
  <r>
    <x v="442"/>
    <x v="151"/>
    <x v="2"/>
    <x v="2"/>
    <x v="1"/>
    <x v="7"/>
    <n v="1"/>
    <n v="2500"/>
    <n v="500"/>
    <n v="2500"/>
    <x v="2"/>
  </r>
  <r>
    <x v="443"/>
    <x v="151"/>
    <x v="0"/>
    <x v="0"/>
    <x v="0"/>
    <x v="1"/>
    <n v="2"/>
    <n v="2500"/>
    <n v="1200"/>
    <n v="5000"/>
    <x v="0"/>
  </r>
  <r>
    <x v="444"/>
    <x v="151"/>
    <x v="0"/>
    <x v="0"/>
    <x v="2"/>
    <x v="8"/>
    <n v="1"/>
    <n v="5000"/>
    <n v="1500"/>
    <n v="5000"/>
    <x v="2"/>
  </r>
  <r>
    <x v="445"/>
    <x v="151"/>
    <x v="2"/>
    <x v="2"/>
    <x v="2"/>
    <x v="5"/>
    <n v="2"/>
    <n v="4000"/>
    <n v="2000"/>
    <n v="8000"/>
    <x v="2"/>
  </r>
  <r>
    <x v="446"/>
    <x v="152"/>
    <x v="1"/>
    <x v="2"/>
    <x v="0"/>
    <x v="1"/>
    <n v="1"/>
    <n v="2500"/>
    <n v="600"/>
    <n v="2500"/>
    <x v="2"/>
  </r>
  <r>
    <x v="447"/>
    <x v="152"/>
    <x v="1"/>
    <x v="2"/>
    <x v="3"/>
    <x v="12"/>
    <n v="1"/>
    <n v="2500"/>
    <n v="700"/>
    <n v="2500"/>
    <x v="0"/>
  </r>
  <r>
    <x v="448"/>
    <x v="153"/>
    <x v="0"/>
    <x v="2"/>
    <x v="1"/>
    <x v="7"/>
    <n v="1"/>
    <n v="2500"/>
    <n v="500"/>
    <n v="2500"/>
    <x v="1"/>
  </r>
  <r>
    <x v="449"/>
    <x v="154"/>
    <x v="0"/>
    <x v="2"/>
    <x v="1"/>
    <x v="9"/>
    <n v="1"/>
    <n v="8000"/>
    <n v="2500"/>
    <n v="8000"/>
    <x v="2"/>
  </r>
  <r>
    <x v="450"/>
    <x v="154"/>
    <x v="0"/>
    <x v="2"/>
    <x v="0"/>
    <x v="10"/>
    <n v="1"/>
    <n v="3000"/>
    <n v="700"/>
    <n v="3000"/>
    <x v="2"/>
  </r>
  <r>
    <x v="451"/>
    <x v="154"/>
    <x v="0"/>
    <x v="0"/>
    <x v="0"/>
    <x v="1"/>
    <n v="1"/>
    <n v="2500"/>
    <n v="600"/>
    <n v="2500"/>
    <x v="2"/>
  </r>
  <r>
    <x v="452"/>
    <x v="154"/>
    <x v="0"/>
    <x v="1"/>
    <x v="2"/>
    <x v="8"/>
    <n v="1"/>
    <n v="5000"/>
    <n v="1500"/>
    <n v="5000"/>
    <x v="1"/>
  </r>
  <r>
    <x v="453"/>
    <x v="155"/>
    <x v="0"/>
    <x v="1"/>
    <x v="1"/>
    <x v="7"/>
    <n v="1"/>
    <n v="2500"/>
    <n v="500"/>
    <n v="2500"/>
    <x v="2"/>
  </r>
  <r>
    <x v="454"/>
    <x v="155"/>
    <x v="1"/>
    <x v="0"/>
    <x v="1"/>
    <x v="2"/>
    <n v="2"/>
    <n v="7500"/>
    <n v="4400"/>
    <n v="15000"/>
    <x v="2"/>
  </r>
  <r>
    <x v="455"/>
    <x v="156"/>
    <x v="1"/>
    <x v="0"/>
    <x v="0"/>
    <x v="0"/>
    <n v="1"/>
    <n v="6000"/>
    <n v="1800"/>
    <n v="6000"/>
    <x v="0"/>
  </r>
  <r>
    <x v="456"/>
    <x v="156"/>
    <x v="1"/>
    <x v="2"/>
    <x v="2"/>
    <x v="8"/>
    <n v="2"/>
    <n v="5000"/>
    <n v="3000"/>
    <n v="10000"/>
    <x v="1"/>
  </r>
  <r>
    <x v="457"/>
    <x v="156"/>
    <x v="2"/>
    <x v="1"/>
    <x v="1"/>
    <x v="9"/>
    <n v="1"/>
    <n v="8000"/>
    <n v="2500"/>
    <n v="8000"/>
    <x v="1"/>
  </r>
  <r>
    <x v="458"/>
    <x v="156"/>
    <x v="0"/>
    <x v="0"/>
    <x v="2"/>
    <x v="8"/>
    <n v="2"/>
    <n v="5000"/>
    <n v="3000"/>
    <n v="10000"/>
    <x v="0"/>
  </r>
  <r>
    <x v="459"/>
    <x v="156"/>
    <x v="0"/>
    <x v="2"/>
    <x v="3"/>
    <x v="6"/>
    <n v="1"/>
    <n v="5000"/>
    <n v="1500"/>
    <n v="5000"/>
    <x v="0"/>
  </r>
  <r>
    <x v="460"/>
    <x v="156"/>
    <x v="0"/>
    <x v="2"/>
    <x v="2"/>
    <x v="3"/>
    <n v="1"/>
    <n v="3000"/>
    <n v="800"/>
    <n v="3000"/>
    <x v="2"/>
  </r>
  <r>
    <x v="461"/>
    <x v="157"/>
    <x v="1"/>
    <x v="2"/>
    <x v="3"/>
    <x v="4"/>
    <n v="1"/>
    <n v="3000"/>
    <n v="800"/>
    <n v="3000"/>
    <x v="0"/>
  </r>
  <r>
    <x v="462"/>
    <x v="157"/>
    <x v="0"/>
    <x v="2"/>
    <x v="0"/>
    <x v="0"/>
    <n v="1"/>
    <n v="6000"/>
    <n v="1800"/>
    <n v="6000"/>
    <x v="2"/>
  </r>
  <r>
    <x v="463"/>
    <x v="158"/>
    <x v="1"/>
    <x v="2"/>
    <x v="0"/>
    <x v="0"/>
    <n v="1"/>
    <n v="6000"/>
    <n v="1800"/>
    <n v="6000"/>
    <x v="0"/>
  </r>
  <r>
    <x v="464"/>
    <x v="158"/>
    <x v="0"/>
    <x v="1"/>
    <x v="1"/>
    <x v="2"/>
    <n v="1"/>
    <n v="7500"/>
    <n v="2200"/>
    <n v="7500"/>
    <x v="0"/>
  </r>
  <r>
    <x v="465"/>
    <x v="158"/>
    <x v="1"/>
    <x v="1"/>
    <x v="2"/>
    <x v="5"/>
    <n v="1"/>
    <n v="4000"/>
    <n v="1000"/>
    <n v="4000"/>
    <x v="0"/>
  </r>
  <r>
    <x v="466"/>
    <x v="158"/>
    <x v="0"/>
    <x v="1"/>
    <x v="2"/>
    <x v="8"/>
    <n v="1"/>
    <n v="5000"/>
    <n v="1500"/>
    <n v="5000"/>
    <x v="2"/>
  </r>
  <r>
    <x v="467"/>
    <x v="158"/>
    <x v="2"/>
    <x v="0"/>
    <x v="0"/>
    <x v="1"/>
    <n v="2"/>
    <n v="2500"/>
    <n v="1200"/>
    <n v="5000"/>
    <x v="2"/>
  </r>
  <r>
    <x v="468"/>
    <x v="159"/>
    <x v="0"/>
    <x v="1"/>
    <x v="3"/>
    <x v="12"/>
    <n v="1"/>
    <n v="2500"/>
    <n v="700"/>
    <n v="2500"/>
    <x v="0"/>
  </r>
  <r>
    <x v="469"/>
    <x v="159"/>
    <x v="1"/>
    <x v="1"/>
    <x v="2"/>
    <x v="3"/>
    <n v="1"/>
    <n v="3000"/>
    <n v="800"/>
    <n v="3000"/>
    <x v="2"/>
  </r>
  <r>
    <x v="470"/>
    <x v="159"/>
    <x v="2"/>
    <x v="2"/>
    <x v="0"/>
    <x v="1"/>
    <n v="1"/>
    <n v="2500"/>
    <n v="600"/>
    <n v="2500"/>
    <x v="0"/>
  </r>
  <r>
    <x v="471"/>
    <x v="160"/>
    <x v="2"/>
    <x v="2"/>
    <x v="1"/>
    <x v="2"/>
    <n v="1"/>
    <n v="7500"/>
    <n v="2200"/>
    <n v="7500"/>
    <x v="1"/>
  </r>
  <r>
    <x v="472"/>
    <x v="160"/>
    <x v="1"/>
    <x v="0"/>
    <x v="3"/>
    <x v="6"/>
    <n v="2"/>
    <n v="5000"/>
    <n v="3000"/>
    <n v="10000"/>
    <x v="2"/>
  </r>
  <r>
    <x v="473"/>
    <x v="160"/>
    <x v="0"/>
    <x v="0"/>
    <x v="1"/>
    <x v="11"/>
    <n v="1"/>
    <n v="7000"/>
    <n v="2000"/>
    <n v="7000"/>
    <x v="1"/>
  </r>
  <r>
    <x v="474"/>
    <x v="161"/>
    <x v="2"/>
    <x v="2"/>
    <x v="3"/>
    <x v="12"/>
    <n v="2"/>
    <n v="2500"/>
    <n v="1400"/>
    <n v="5000"/>
    <x v="2"/>
  </r>
  <r>
    <x v="475"/>
    <x v="162"/>
    <x v="1"/>
    <x v="1"/>
    <x v="2"/>
    <x v="8"/>
    <n v="2"/>
    <n v="5000"/>
    <n v="3000"/>
    <n v="10000"/>
    <x v="1"/>
  </r>
  <r>
    <x v="476"/>
    <x v="162"/>
    <x v="2"/>
    <x v="1"/>
    <x v="0"/>
    <x v="10"/>
    <n v="1"/>
    <n v="3000"/>
    <n v="700"/>
    <n v="3000"/>
    <x v="1"/>
  </r>
  <r>
    <x v="477"/>
    <x v="163"/>
    <x v="1"/>
    <x v="2"/>
    <x v="1"/>
    <x v="2"/>
    <n v="2"/>
    <n v="7500"/>
    <n v="4400"/>
    <n v="15000"/>
    <x v="1"/>
  </r>
  <r>
    <x v="478"/>
    <x v="164"/>
    <x v="0"/>
    <x v="0"/>
    <x v="2"/>
    <x v="8"/>
    <n v="1"/>
    <n v="5000"/>
    <n v="1500"/>
    <n v="5000"/>
    <x v="2"/>
  </r>
  <r>
    <x v="479"/>
    <x v="164"/>
    <x v="0"/>
    <x v="1"/>
    <x v="0"/>
    <x v="1"/>
    <n v="1"/>
    <n v="2500"/>
    <n v="600"/>
    <n v="2500"/>
    <x v="0"/>
  </r>
  <r>
    <x v="480"/>
    <x v="164"/>
    <x v="2"/>
    <x v="2"/>
    <x v="1"/>
    <x v="11"/>
    <n v="2"/>
    <n v="7000"/>
    <n v="4000"/>
    <n v="14000"/>
    <x v="1"/>
  </r>
  <r>
    <x v="481"/>
    <x v="164"/>
    <x v="1"/>
    <x v="0"/>
    <x v="3"/>
    <x v="12"/>
    <n v="2"/>
    <n v="2500"/>
    <n v="1400"/>
    <n v="5000"/>
    <x v="2"/>
  </r>
  <r>
    <x v="482"/>
    <x v="165"/>
    <x v="1"/>
    <x v="2"/>
    <x v="0"/>
    <x v="10"/>
    <n v="2"/>
    <n v="3000"/>
    <n v="1400"/>
    <n v="6000"/>
    <x v="1"/>
  </r>
  <r>
    <x v="483"/>
    <x v="165"/>
    <x v="0"/>
    <x v="0"/>
    <x v="1"/>
    <x v="9"/>
    <n v="1"/>
    <n v="8000"/>
    <n v="2500"/>
    <n v="8000"/>
    <x v="1"/>
  </r>
  <r>
    <x v="484"/>
    <x v="165"/>
    <x v="0"/>
    <x v="2"/>
    <x v="2"/>
    <x v="3"/>
    <n v="1"/>
    <n v="3000"/>
    <n v="800"/>
    <n v="3000"/>
    <x v="1"/>
  </r>
  <r>
    <x v="485"/>
    <x v="165"/>
    <x v="1"/>
    <x v="0"/>
    <x v="2"/>
    <x v="8"/>
    <n v="1"/>
    <n v="5000"/>
    <n v="1500"/>
    <n v="5000"/>
    <x v="1"/>
  </r>
  <r>
    <x v="486"/>
    <x v="166"/>
    <x v="1"/>
    <x v="2"/>
    <x v="0"/>
    <x v="1"/>
    <n v="1"/>
    <n v="2500"/>
    <n v="600"/>
    <n v="2500"/>
    <x v="2"/>
  </r>
  <r>
    <x v="487"/>
    <x v="166"/>
    <x v="2"/>
    <x v="1"/>
    <x v="3"/>
    <x v="4"/>
    <n v="1"/>
    <n v="3000"/>
    <n v="800"/>
    <n v="3000"/>
    <x v="1"/>
  </r>
  <r>
    <x v="488"/>
    <x v="166"/>
    <x v="2"/>
    <x v="2"/>
    <x v="1"/>
    <x v="2"/>
    <n v="1"/>
    <n v="7500"/>
    <n v="2200"/>
    <n v="7500"/>
    <x v="2"/>
  </r>
  <r>
    <x v="489"/>
    <x v="167"/>
    <x v="0"/>
    <x v="2"/>
    <x v="1"/>
    <x v="2"/>
    <n v="1"/>
    <n v="7500"/>
    <n v="2200"/>
    <n v="7500"/>
    <x v="0"/>
  </r>
  <r>
    <x v="490"/>
    <x v="167"/>
    <x v="2"/>
    <x v="2"/>
    <x v="1"/>
    <x v="9"/>
    <n v="1"/>
    <n v="8000"/>
    <n v="2500"/>
    <n v="8000"/>
    <x v="1"/>
  </r>
  <r>
    <x v="491"/>
    <x v="168"/>
    <x v="1"/>
    <x v="1"/>
    <x v="0"/>
    <x v="10"/>
    <n v="1"/>
    <n v="3000"/>
    <n v="700"/>
    <n v="3000"/>
    <x v="0"/>
  </r>
  <r>
    <x v="492"/>
    <x v="168"/>
    <x v="0"/>
    <x v="2"/>
    <x v="2"/>
    <x v="8"/>
    <n v="1"/>
    <n v="5000"/>
    <n v="1500"/>
    <n v="5000"/>
    <x v="1"/>
  </r>
  <r>
    <x v="493"/>
    <x v="169"/>
    <x v="1"/>
    <x v="1"/>
    <x v="2"/>
    <x v="5"/>
    <n v="1"/>
    <n v="4000"/>
    <n v="1000"/>
    <n v="4000"/>
    <x v="2"/>
  </r>
  <r>
    <x v="494"/>
    <x v="169"/>
    <x v="0"/>
    <x v="1"/>
    <x v="0"/>
    <x v="10"/>
    <n v="1"/>
    <n v="3000"/>
    <n v="700"/>
    <n v="3000"/>
    <x v="0"/>
  </r>
  <r>
    <x v="495"/>
    <x v="169"/>
    <x v="2"/>
    <x v="0"/>
    <x v="1"/>
    <x v="2"/>
    <n v="1"/>
    <n v="7500"/>
    <n v="2200"/>
    <n v="7500"/>
    <x v="0"/>
  </r>
  <r>
    <x v="496"/>
    <x v="169"/>
    <x v="2"/>
    <x v="0"/>
    <x v="0"/>
    <x v="0"/>
    <n v="2"/>
    <n v="6000"/>
    <n v="3600"/>
    <n v="12000"/>
    <x v="1"/>
  </r>
  <r>
    <x v="497"/>
    <x v="170"/>
    <x v="1"/>
    <x v="0"/>
    <x v="0"/>
    <x v="0"/>
    <n v="1"/>
    <n v="6000"/>
    <n v="1800"/>
    <n v="6000"/>
    <x v="0"/>
  </r>
  <r>
    <x v="498"/>
    <x v="170"/>
    <x v="1"/>
    <x v="1"/>
    <x v="1"/>
    <x v="11"/>
    <n v="2"/>
    <n v="7000"/>
    <n v="4000"/>
    <n v="14000"/>
    <x v="0"/>
  </r>
  <r>
    <x v="499"/>
    <x v="171"/>
    <x v="0"/>
    <x v="0"/>
    <x v="1"/>
    <x v="7"/>
    <n v="1"/>
    <n v="2500"/>
    <n v="500"/>
    <n v="2500"/>
    <x v="2"/>
  </r>
  <r>
    <x v="500"/>
    <x v="172"/>
    <x v="2"/>
    <x v="0"/>
    <x v="1"/>
    <x v="11"/>
    <n v="1"/>
    <n v="7000"/>
    <n v="2000"/>
    <n v="7000"/>
    <x v="0"/>
  </r>
  <r>
    <x v="501"/>
    <x v="172"/>
    <x v="0"/>
    <x v="1"/>
    <x v="3"/>
    <x v="12"/>
    <n v="2"/>
    <n v="2500"/>
    <n v="1400"/>
    <n v="5000"/>
    <x v="0"/>
  </r>
  <r>
    <x v="502"/>
    <x v="172"/>
    <x v="0"/>
    <x v="1"/>
    <x v="0"/>
    <x v="0"/>
    <n v="1"/>
    <n v="6000"/>
    <n v="1800"/>
    <n v="6000"/>
    <x v="2"/>
  </r>
  <r>
    <x v="503"/>
    <x v="173"/>
    <x v="1"/>
    <x v="1"/>
    <x v="2"/>
    <x v="8"/>
    <n v="1"/>
    <n v="5000"/>
    <n v="1500"/>
    <n v="5000"/>
    <x v="1"/>
  </r>
  <r>
    <x v="504"/>
    <x v="173"/>
    <x v="0"/>
    <x v="0"/>
    <x v="3"/>
    <x v="12"/>
    <n v="1"/>
    <n v="2500"/>
    <n v="700"/>
    <n v="2500"/>
    <x v="2"/>
  </r>
  <r>
    <x v="505"/>
    <x v="173"/>
    <x v="0"/>
    <x v="0"/>
    <x v="0"/>
    <x v="0"/>
    <n v="1"/>
    <n v="6000"/>
    <n v="1800"/>
    <n v="6000"/>
    <x v="2"/>
  </r>
  <r>
    <x v="506"/>
    <x v="174"/>
    <x v="1"/>
    <x v="1"/>
    <x v="3"/>
    <x v="12"/>
    <n v="2"/>
    <n v="2500"/>
    <n v="1400"/>
    <n v="5000"/>
    <x v="0"/>
  </r>
  <r>
    <x v="507"/>
    <x v="174"/>
    <x v="1"/>
    <x v="1"/>
    <x v="3"/>
    <x v="12"/>
    <n v="2"/>
    <n v="2500"/>
    <n v="1400"/>
    <n v="5000"/>
    <x v="2"/>
  </r>
  <r>
    <x v="508"/>
    <x v="174"/>
    <x v="2"/>
    <x v="2"/>
    <x v="2"/>
    <x v="3"/>
    <n v="1"/>
    <n v="3000"/>
    <n v="800"/>
    <n v="3000"/>
    <x v="2"/>
  </r>
  <r>
    <x v="509"/>
    <x v="174"/>
    <x v="1"/>
    <x v="2"/>
    <x v="0"/>
    <x v="10"/>
    <n v="1"/>
    <n v="3000"/>
    <n v="700"/>
    <n v="3000"/>
    <x v="0"/>
  </r>
  <r>
    <x v="510"/>
    <x v="174"/>
    <x v="2"/>
    <x v="1"/>
    <x v="2"/>
    <x v="3"/>
    <n v="1"/>
    <n v="3000"/>
    <n v="800"/>
    <n v="3000"/>
    <x v="1"/>
  </r>
  <r>
    <x v="511"/>
    <x v="174"/>
    <x v="1"/>
    <x v="2"/>
    <x v="0"/>
    <x v="1"/>
    <n v="2"/>
    <n v="2500"/>
    <n v="1200"/>
    <n v="5000"/>
    <x v="0"/>
  </r>
  <r>
    <x v="512"/>
    <x v="174"/>
    <x v="2"/>
    <x v="1"/>
    <x v="0"/>
    <x v="10"/>
    <n v="1"/>
    <n v="3000"/>
    <n v="700"/>
    <n v="3000"/>
    <x v="2"/>
  </r>
  <r>
    <x v="513"/>
    <x v="174"/>
    <x v="2"/>
    <x v="1"/>
    <x v="0"/>
    <x v="1"/>
    <n v="1"/>
    <n v="2500"/>
    <n v="600"/>
    <n v="2500"/>
    <x v="1"/>
  </r>
  <r>
    <x v="514"/>
    <x v="175"/>
    <x v="0"/>
    <x v="0"/>
    <x v="1"/>
    <x v="9"/>
    <n v="1"/>
    <n v="8000"/>
    <n v="2500"/>
    <n v="8000"/>
    <x v="2"/>
  </r>
  <r>
    <x v="515"/>
    <x v="175"/>
    <x v="1"/>
    <x v="2"/>
    <x v="2"/>
    <x v="8"/>
    <n v="1"/>
    <n v="5000"/>
    <n v="1500"/>
    <n v="5000"/>
    <x v="1"/>
  </r>
  <r>
    <x v="516"/>
    <x v="176"/>
    <x v="1"/>
    <x v="0"/>
    <x v="2"/>
    <x v="3"/>
    <n v="1"/>
    <n v="3000"/>
    <n v="800"/>
    <n v="3000"/>
    <x v="0"/>
  </r>
  <r>
    <x v="517"/>
    <x v="176"/>
    <x v="0"/>
    <x v="0"/>
    <x v="2"/>
    <x v="5"/>
    <n v="2"/>
    <n v="4000"/>
    <n v="2000"/>
    <n v="8000"/>
    <x v="1"/>
  </r>
  <r>
    <x v="518"/>
    <x v="176"/>
    <x v="0"/>
    <x v="2"/>
    <x v="1"/>
    <x v="7"/>
    <n v="1"/>
    <n v="2500"/>
    <n v="500"/>
    <n v="2500"/>
    <x v="0"/>
  </r>
  <r>
    <x v="519"/>
    <x v="176"/>
    <x v="2"/>
    <x v="2"/>
    <x v="0"/>
    <x v="1"/>
    <n v="1"/>
    <n v="2500"/>
    <n v="600"/>
    <n v="2500"/>
    <x v="0"/>
  </r>
  <r>
    <x v="520"/>
    <x v="177"/>
    <x v="1"/>
    <x v="2"/>
    <x v="0"/>
    <x v="10"/>
    <n v="1"/>
    <n v="3000"/>
    <n v="700"/>
    <n v="3000"/>
    <x v="0"/>
  </r>
  <r>
    <x v="521"/>
    <x v="177"/>
    <x v="2"/>
    <x v="1"/>
    <x v="2"/>
    <x v="3"/>
    <n v="1"/>
    <n v="3000"/>
    <n v="800"/>
    <n v="3000"/>
    <x v="1"/>
  </r>
  <r>
    <x v="522"/>
    <x v="177"/>
    <x v="0"/>
    <x v="2"/>
    <x v="0"/>
    <x v="10"/>
    <n v="1"/>
    <n v="3000"/>
    <n v="700"/>
    <n v="3000"/>
    <x v="0"/>
  </r>
  <r>
    <x v="523"/>
    <x v="178"/>
    <x v="0"/>
    <x v="1"/>
    <x v="0"/>
    <x v="10"/>
    <n v="1"/>
    <n v="3000"/>
    <n v="700"/>
    <n v="3000"/>
    <x v="0"/>
  </r>
  <r>
    <x v="524"/>
    <x v="179"/>
    <x v="2"/>
    <x v="2"/>
    <x v="1"/>
    <x v="9"/>
    <n v="1"/>
    <n v="8000"/>
    <n v="2500"/>
    <n v="8000"/>
    <x v="0"/>
  </r>
  <r>
    <x v="525"/>
    <x v="180"/>
    <x v="0"/>
    <x v="2"/>
    <x v="3"/>
    <x v="6"/>
    <n v="1"/>
    <n v="5000"/>
    <n v="1500"/>
    <n v="5000"/>
    <x v="2"/>
  </r>
  <r>
    <x v="526"/>
    <x v="180"/>
    <x v="2"/>
    <x v="2"/>
    <x v="0"/>
    <x v="0"/>
    <n v="1"/>
    <n v="6000"/>
    <n v="1800"/>
    <n v="6000"/>
    <x v="2"/>
  </r>
  <r>
    <x v="527"/>
    <x v="181"/>
    <x v="1"/>
    <x v="0"/>
    <x v="3"/>
    <x v="6"/>
    <n v="1"/>
    <n v="5000"/>
    <n v="1500"/>
    <n v="5000"/>
    <x v="0"/>
  </r>
  <r>
    <x v="528"/>
    <x v="181"/>
    <x v="0"/>
    <x v="0"/>
    <x v="2"/>
    <x v="5"/>
    <n v="2"/>
    <n v="4000"/>
    <n v="2000"/>
    <n v="8000"/>
    <x v="1"/>
  </r>
  <r>
    <x v="529"/>
    <x v="181"/>
    <x v="0"/>
    <x v="1"/>
    <x v="1"/>
    <x v="11"/>
    <n v="2"/>
    <n v="7000"/>
    <n v="4000"/>
    <n v="14000"/>
    <x v="2"/>
  </r>
  <r>
    <x v="530"/>
    <x v="181"/>
    <x v="2"/>
    <x v="0"/>
    <x v="1"/>
    <x v="7"/>
    <n v="2"/>
    <n v="2500"/>
    <n v="1000"/>
    <n v="5000"/>
    <x v="1"/>
  </r>
  <r>
    <x v="531"/>
    <x v="181"/>
    <x v="0"/>
    <x v="0"/>
    <x v="0"/>
    <x v="0"/>
    <n v="2"/>
    <n v="6000"/>
    <n v="3600"/>
    <n v="12000"/>
    <x v="2"/>
  </r>
  <r>
    <x v="532"/>
    <x v="182"/>
    <x v="0"/>
    <x v="0"/>
    <x v="1"/>
    <x v="7"/>
    <n v="2"/>
    <n v="2500"/>
    <n v="1000"/>
    <n v="5000"/>
    <x v="0"/>
  </r>
  <r>
    <x v="533"/>
    <x v="182"/>
    <x v="1"/>
    <x v="2"/>
    <x v="2"/>
    <x v="5"/>
    <n v="1"/>
    <n v="4000"/>
    <n v="1000"/>
    <n v="4000"/>
    <x v="0"/>
  </r>
  <r>
    <x v="534"/>
    <x v="182"/>
    <x v="2"/>
    <x v="2"/>
    <x v="1"/>
    <x v="7"/>
    <n v="1"/>
    <n v="2500"/>
    <n v="500"/>
    <n v="2500"/>
    <x v="1"/>
  </r>
  <r>
    <x v="535"/>
    <x v="182"/>
    <x v="0"/>
    <x v="2"/>
    <x v="2"/>
    <x v="3"/>
    <n v="1"/>
    <n v="3000"/>
    <n v="800"/>
    <n v="3000"/>
    <x v="2"/>
  </r>
  <r>
    <x v="536"/>
    <x v="182"/>
    <x v="0"/>
    <x v="1"/>
    <x v="0"/>
    <x v="0"/>
    <n v="2"/>
    <n v="6000"/>
    <n v="3600"/>
    <n v="12000"/>
    <x v="0"/>
  </r>
  <r>
    <x v="537"/>
    <x v="182"/>
    <x v="0"/>
    <x v="1"/>
    <x v="2"/>
    <x v="5"/>
    <n v="1"/>
    <n v="4000"/>
    <n v="1000"/>
    <n v="4000"/>
    <x v="2"/>
  </r>
  <r>
    <x v="538"/>
    <x v="183"/>
    <x v="1"/>
    <x v="1"/>
    <x v="0"/>
    <x v="0"/>
    <n v="1"/>
    <n v="6000"/>
    <n v="1800"/>
    <n v="6000"/>
    <x v="1"/>
  </r>
  <r>
    <x v="539"/>
    <x v="184"/>
    <x v="2"/>
    <x v="1"/>
    <x v="3"/>
    <x v="6"/>
    <n v="1"/>
    <n v="5000"/>
    <n v="1500"/>
    <n v="5000"/>
    <x v="0"/>
  </r>
  <r>
    <x v="540"/>
    <x v="185"/>
    <x v="2"/>
    <x v="0"/>
    <x v="1"/>
    <x v="2"/>
    <n v="1"/>
    <n v="7500"/>
    <n v="2200"/>
    <n v="7500"/>
    <x v="0"/>
  </r>
  <r>
    <x v="541"/>
    <x v="186"/>
    <x v="2"/>
    <x v="0"/>
    <x v="0"/>
    <x v="1"/>
    <n v="1"/>
    <n v="2500"/>
    <n v="600"/>
    <n v="2500"/>
    <x v="0"/>
  </r>
  <r>
    <x v="542"/>
    <x v="187"/>
    <x v="2"/>
    <x v="1"/>
    <x v="2"/>
    <x v="3"/>
    <n v="2"/>
    <n v="3000"/>
    <n v="1600"/>
    <n v="6000"/>
    <x v="0"/>
  </r>
  <r>
    <x v="543"/>
    <x v="187"/>
    <x v="2"/>
    <x v="1"/>
    <x v="2"/>
    <x v="8"/>
    <n v="2"/>
    <n v="5000"/>
    <n v="3000"/>
    <n v="10000"/>
    <x v="1"/>
  </r>
  <r>
    <x v="544"/>
    <x v="188"/>
    <x v="0"/>
    <x v="1"/>
    <x v="1"/>
    <x v="7"/>
    <n v="2"/>
    <n v="2500"/>
    <n v="1000"/>
    <n v="5000"/>
    <x v="2"/>
  </r>
  <r>
    <x v="545"/>
    <x v="189"/>
    <x v="2"/>
    <x v="0"/>
    <x v="1"/>
    <x v="11"/>
    <n v="2"/>
    <n v="7000"/>
    <n v="4000"/>
    <n v="14000"/>
    <x v="0"/>
  </r>
  <r>
    <x v="546"/>
    <x v="189"/>
    <x v="2"/>
    <x v="2"/>
    <x v="3"/>
    <x v="12"/>
    <n v="1"/>
    <n v="2500"/>
    <n v="700"/>
    <n v="2500"/>
    <x v="2"/>
  </r>
  <r>
    <x v="547"/>
    <x v="189"/>
    <x v="0"/>
    <x v="1"/>
    <x v="0"/>
    <x v="10"/>
    <n v="1"/>
    <n v="3000"/>
    <n v="700"/>
    <n v="3000"/>
    <x v="1"/>
  </r>
  <r>
    <x v="548"/>
    <x v="189"/>
    <x v="0"/>
    <x v="2"/>
    <x v="3"/>
    <x v="4"/>
    <n v="1"/>
    <n v="3000"/>
    <n v="800"/>
    <n v="3000"/>
    <x v="1"/>
  </r>
  <r>
    <x v="549"/>
    <x v="189"/>
    <x v="1"/>
    <x v="0"/>
    <x v="0"/>
    <x v="10"/>
    <n v="1"/>
    <n v="3000"/>
    <n v="700"/>
    <n v="3000"/>
    <x v="1"/>
  </r>
  <r>
    <x v="550"/>
    <x v="189"/>
    <x v="0"/>
    <x v="0"/>
    <x v="0"/>
    <x v="0"/>
    <n v="1"/>
    <n v="6000"/>
    <n v="1800"/>
    <n v="6000"/>
    <x v="1"/>
  </r>
  <r>
    <x v="551"/>
    <x v="190"/>
    <x v="2"/>
    <x v="0"/>
    <x v="3"/>
    <x v="6"/>
    <n v="1"/>
    <n v="5000"/>
    <n v="1500"/>
    <n v="5000"/>
    <x v="2"/>
  </r>
  <r>
    <x v="552"/>
    <x v="190"/>
    <x v="1"/>
    <x v="1"/>
    <x v="1"/>
    <x v="9"/>
    <n v="2"/>
    <n v="8000"/>
    <n v="5000"/>
    <n v="16000"/>
    <x v="0"/>
  </r>
  <r>
    <x v="553"/>
    <x v="190"/>
    <x v="1"/>
    <x v="1"/>
    <x v="0"/>
    <x v="0"/>
    <n v="1"/>
    <n v="6000"/>
    <n v="1800"/>
    <n v="6000"/>
    <x v="2"/>
  </r>
  <r>
    <x v="554"/>
    <x v="190"/>
    <x v="2"/>
    <x v="1"/>
    <x v="1"/>
    <x v="7"/>
    <n v="2"/>
    <n v="2500"/>
    <n v="1000"/>
    <n v="5000"/>
    <x v="0"/>
  </r>
  <r>
    <x v="555"/>
    <x v="191"/>
    <x v="1"/>
    <x v="1"/>
    <x v="3"/>
    <x v="4"/>
    <n v="1"/>
    <n v="3000"/>
    <n v="800"/>
    <n v="3000"/>
    <x v="2"/>
  </r>
  <r>
    <x v="556"/>
    <x v="191"/>
    <x v="0"/>
    <x v="1"/>
    <x v="1"/>
    <x v="9"/>
    <n v="1"/>
    <n v="8000"/>
    <n v="2500"/>
    <n v="8000"/>
    <x v="2"/>
  </r>
  <r>
    <x v="557"/>
    <x v="192"/>
    <x v="1"/>
    <x v="2"/>
    <x v="3"/>
    <x v="4"/>
    <n v="1"/>
    <n v="3000"/>
    <n v="800"/>
    <n v="3000"/>
    <x v="2"/>
  </r>
  <r>
    <x v="558"/>
    <x v="192"/>
    <x v="0"/>
    <x v="2"/>
    <x v="3"/>
    <x v="12"/>
    <n v="1"/>
    <n v="2500"/>
    <n v="700"/>
    <n v="2500"/>
    <x v="2"/>
  </r>
  <r>
    <x v="559"/>
    <x v="192"/>
    <x v="1"/>
    <x v="1"/>
    <x v="0"/>
    <x v="0"/>
    <n v="1"/>
    <n v="6000"/>
    <n v="1800"/>
    <n v="6000"/>
    <x v="2"/>
  </r>
  <r>
    <x v="560"/>
    <x v="192"/>
    <x v="1"/>
    <x v="2"/>
    <x v="0"/>
    <x v="10"/>
    <n v="1"/>
    <n v="3000"/>
    <n v="700"/>
    <n v="3000"/>
    <x v="2"/>
  </r>
  <r>
    <x v="561"/>
    <x v="193"/>
    <x v="0"/>
    <x v="0"/>
    <x v="0"/>
    <x v="10"/>
    <n v="2"/>
    <n v="3000"/>
    <n v="1400"/>
    <n v="6000"/>
    <x v="1"/>
  </r>
  <r>
    <x v="562"/>
    <x v="193"/>
    <x v="0"/>
    <x v="1"/>
    <x v="3"/>
    <x v="12"/>
    <n v="1"/>
    <n v="2500"/>
    <n v="700"/>
    <n v="2500"/>
    <x v="0"/>
  </r>
  <r>
    <x v="563"/>
    <x v="193"/>
    <x v="1"/>
    <x v="1"/>
    <x v="0"/>
    <x v="10"/>
    <n v="1"/>
    <n v="3000"/>
    <n v="700"/>
    <n v="3000"/>
    <x v="2"/>
  </r>
  <r>
    <x v="564"/>
    <x v="194"/>
    <x v="1"/>
    <x v="2"/>
    <x v="2"/>
    <x v="8"/>
    <n v="1"/>
    <n v="5000"/>
    <n v="1500"/>
    <n v="5000"/>
    <x v="0"/>
  </r>
  <r>
    <x v="565"/>
    <x v="194"/>
    <x v="1"/>
    <x v="2"/>
    <x v="1"/>
    <x v="11"/>
    <n v="2"/>
    <n v="7000"/>
    <n v="4000"/>
    <n v="14000"/>
    <x v="1"/>
  </r>
  <r>
    <x v="566"/>
    <x v="194"/>
    <x v="0"/>
    <x v="2"/>
    <x v="2"/>
    <x v="5"/>
    <n v="1"/>
    <n v="4000"/>
    <n v="1000"/>
    <n v="4000"/>
    <x v="2"/>
  </r>
  <r>
    <x v="567"/>
    <x v="194"/>
    <x v="2"/>
    <x v="2"/>
    <x v="0"/>
    <x v="1"/>
    <n v="1"/>
    <n v="2500"/>
    <n v="600"/>
    <n v="2500"/>
    <x v="2"/>
  </r>
  <r>
    <x v="568"/>
    <x v="195"/>
    <x v="0"/>
    <x v="0"/>
    <x v="3"/>
    <x v="6"/>
    <n v="1"/>
    <n v="5000"/>
    <n v="1500"/>
    <n v="5000"/>
    <x v="1"/>
  </r>
  <r>
    <x v="569"/>
    <x v="195"/>
    <x v="2"/>
    <x v="0"/>
    <x v="0"/>
    <x v="1"/>
    <n v="1"/>
    <n v="2500"/>
    <n v="600"/>
    <n v="2500"/>
    <x v="0"/>
  </r>
  <r>
    <x v="570"/>
    <x v="195"/>
    <x v="2"/>
    <x v="1"/>
    <x v="3"/>
    <x v="12"/>
    <n v="1"/>
    <n v="2500"/>
    <n v="700"/>
    <n v="2500"/>
    <x v="0"/>
  </r>
  <r>
    <x v="571"/>
    <x v="196"/>
    <x v="2"/>
    <x v="2"/>
    <x v="1"/>
    <x v="9"/>
    <n v="1"/>
    <n v="8000"/>
    <n v="2500"/>
    <n v="8000"/>
    <x v="2"/>
  </r>
  <r>
    <x v="572"/>
    <x v="197"/>
    <x v="2"/>
    <x v="2"/>
    <x v="0"/>
    <x v="1"/>
    <n v="1"/>
    <n v="2500"/>
    <n v="600"/>
    <n v="2500"/>
    <x v="2"/>
  </r>
  <r>
    <x v="573"/>
    <x v="197"/>
    <x v="0"/>
    <x v="2"/>
    <x v="2"/>
    <x v="5"/>
    <n v="1"/>
    <n v="4000"/>
    <n v="1000"/>
    <n v="4000"/>
    <x v="2"/>
  </r>
  <r>
    <x v="574"/>
    <x v="198"/>
    <x v="0"/>
    <x v="2"/>
    <x v="3"/>
    <x v="6"/>
    <n v="1"/>
    <n v="5000"/>
    <n v="1500"/>
    <n v="5000"/>
    <x v="2"/>
  </r>
  <r>
    <x v="575"/>
    <x v="198"/>
    <x v="2"/>
    <x v="1"/>
    <x v="2"/>
    <x v="8"/>
    <n v="1"/>
    <n v="5000"/>
    <n v="1500"/>
    <n v="5000"/>
    <x v="0"/>
  </r>
  <r>
    <x v="576"/>
    <x v="199"/>
    <x v="1"/>
    <x v="2"/>
    <x v="3"/>
    <x v="6"/>
    <n v="1"/>
    <n v="5000"/>
    <n v="1500"/>
    <n v="5000"/>
    <x v="1"/>
  </r>
  <r>
    <x v="577"/>
    <x v="200"/>
    <x v="0"/>
    <x v="0"/>
    <x v="1"/>
    <x v="9"/>
    <n v="1"/>
    <n v="8000"/>
    <n v="2500"/>
    <n v="8000"/>
    <x v="0"/>
  </r>
  <r>
    <x v="578"/>
    <x v="200"/>
    <x v="2"/>
    <x v="1"/>
    <x v="3"/>
    <x v="4"/>
    <n v="1"/>
    <n v="3000"/>
    <n v="800"/>
    <n v="3000"/>
    <x v="1"/>
  </r>
  <r>
    <x v="579"/>
    <x v="200"/>
    <x v="0"/>
    <x v="0"/>
    <x v="1"/>
    <x v="7"/>
    <n v="1"/>
    <n v="2500"/>
    <n v="500"/>
    <n v="2500"/>
    <x v="2"/>
  </r>
  <r>
    <x v="580"/>
    <x v="200"/>
    <x v="2"/>
    <x v="2"/>
    <x v="1"/>
    <x v="9"/>
    <n v="1"/>
    <n v="8000"/>
    <n v="2500"/>
    <n v="8000"/>
    <x v="2"/>
  </r>
  <r>
    <x v="581"/>
    <x v="201"/>
    <x v="2"/>
    <x v="0"/>
    <x v="0"/>
    <x v="0"/>
    <n v="2"/>
    <n v="6000"/>
    <n v="3600"/>
    <n v="12000"/>
    <x v="0"/>
  </r>
  <r>
    <x v="582"/>
    <x v="201"/>
    <x v="1"/>
    <x v="2"/>
    <x v="3"/>
    <x v="4"/>
    <n v="2"/>
    <n v="3000"/>
    <n v="1600"/>
    <n v="6000"/>
    <x v="0"/>
  </r>
  <r>
    <x v="583"/>
    <x v="201"/>
    <x v="2"/>
    <x v="1"/>
    <x v="3"/>
    <x v="6"/>
    <n v="1"/>
    <n v="5000"/>
    <n v="1500"/>
    <n v="5000"/>
    <x v="1"/>
  </r>
  <r>
    <x v="584"/>
    <x v="202"/>
    <x v="1"/>
    <x v="1"/>
    <x v="2"/>
    <x v="8"/>
    <n v="1"/>
    <n v="5000"/>
    <n v="1500"/>
    <n v="5000"/>
    <x v="2"/>
  </r>
  <r>
    <x v="585"/>
    <x v="202"/>
    <x v="1"/>
    <x v="1"/>
    <x v="1"/>
    <x v="9"/>
    <n v="1"/>
    <n v="8000"/>
    <n v="2500"/>
    <n v="8000"/>
    <x v="2"/>
  </r>
  <r>
    <x v="586"/>
    <x v="203"/>
    <x v="0"/>
    <x v="2"/>
    <x v="1"/>
    <x v="11"/>
    <n v="1"/>
    <n v="7000"/>
    <n v="2000"/>
    <n v="7000"/>
    <x v="0"/>
  </r>
  <r>
    <x v="587"/>
    <x v="203"/>
    <x v="1"/>
    <x v="2"/>
    <x v="2"/>
    <x v="3"/>
    <n v="2"/>
    <n v="3000"/>
    <n v="1600"/>
    <n v="6000"/>
    <x v="1"/>
  </r>
  <r>
    <x v="588"/>
    <x v="203"/>
    <x v="2"/>
    <x v="2"/>
    <x v="2"/>
    <x v="3"/>
    <n v="1"/>
    <n v="3000"/>
    <n v="800"/>
    <n v="3000"/>
    <x v="2"/>
  </r>
  <r>
    <x v="589"/>
    <x v="203"/>
    <x v="0"/>
    <x v="1"/>
    <x v="2"/>
    <x v="5"/>
    <n v="1"/>
    <n v="4000"/>
    <n v="1000"/>
    <n v="4000"/>
    <x v="2"/>
  </r>
  <r>
    <x v="590"/>
    <x v="203"/>
    <x v="2"/>
    <x v="1"/>
    <x v="1"/>
    <x v="11"/>
    <n v="1"/>
    <n v="7000"/>
    <n v="2000"/>
    <n v="7000"/>
    <x v="2"/>
  </r>
  <r>
    <x v="591"/>
    <x v="204"/>
    <x v="2"/>
    <x v="2"/>
    <x v="3"/>
    <x v="6"/>
    <n v="2"/>
    <n v="5000"/>
    <n v="3000"/>
    <n v="10000"/>
    <x v="0"/>
  </r>
  <r>
    <x v="592"/>
    <x v="204"/>
    <x v="0"/>
    <x v="0"/>
    <x v="2"/>
    <x v="3"/>
    <n v="1"/>
    <n v="3000"/>
    <n v="800"/>
    <n v="3000"/>
    <x v="2"/>
  </r>
  <r>
    <x v="593"/>
    <x v="204"/>
    <x v="1"/>
    <x v="0"/>
    <x v="2"/>
    <x v="5"/>
    <n v="2"/>
    <n v="4000"/>
    <n v="2000"/>
    <n v="8000"/>
    <x v="1"/>
  </r>
  <r>
    <x v="594"/>
    <x v="204"/>
    <x v="1"/>
    <x v="1"/>
    <x v="2"/>
    <x v="3"/>
    <n v="1"/>
    <n v="3000"/>
    <n v="800"/>
    <n v="3000"/>
    <x v="1"/>
  </r>
  <r>
    <x v="595"/>
    <x v="205"/>
    <x v="0"/>
    <x v="2"/>
    <x v="2"/>
    <x v="5"/>
    <n v="2"/>
    <n v="4000"/>
    <n v="2000"/>
    <n v="8000"/>
    <x v="2"/>
  </r>
  <r>
    <x v="596"/>
    <x v="205"/>
    <x v="2"/>
    <x v="0"/>
    <x v="0"/>
    <x v="1"/>
    <n v="1"/>
    <n v="2500"/>
    <n v="600"/>
    <n v="2500"/>
    <x v="0"/>
  </r>
  <r>
    <x v="597"/>
    <x v="205"/>
    <x v="2"/>
    <x v="1"/>
    <x v="2"/>
    <x v="8"/>
    <n v="1"/>
    <n v="5000"/>
    <n v="1500"/>
    <n v="5000"/>
    <x v="1"/>
  </r>
  <r>
    <x v="598"/>
    <x v="205"/>
    <x v="0"/>
    <x v="1"/>
    <x v="0"/>
    <x v="1"/>
    <n v="1"/>
    <n v="2500"/>
    <n v="600"/>
    <n v="2500"/>
    <x v="2"/>
  </r>
  <r>
    <x v="599"/>
    <x v="206"/>
    <x v="1"/>
    <x v="1"/>
    <x v="1"/>
    <x v="11"/>
    <n v="1"/>
    <n v="7000"/>
    <n v="2000"/>
    <n v="7000"/>
    <x v="2"/>
  </r>
  <r>
    <x v="600"/>
    <x v="206"/>
    <x v="0"/>
    <x v="2"/>
    <x v="0"/>
    <x v="10"/>
    <n v="2"/>
    <n v="3000"/>
    <n v="1400"/>
    <n v="6000"/>
    <x v="2"/>
  </r>
  <r>
    <x v="601"/>
    <x v="206"/>
    <x v="0"/>
    <x v="2"/>
    <x v="3"/>
    <x v="6"/>
    <n v="1"/>
    <n v="5000"/>
    <n v="1500"/>
    <n v="5000"/>
    <x v="2"/>
  </r>
  <r>
    <x v="602"/>
    <x v="207"/>
    <x v="2"/>
    <x v="1"/>
    <x v="1"/>
    <x v="7"/>
    <n v="1"/>
    <n v="2500"/>
    <n v="500"/>
    <n v="2500"/>
    <x v="2"/>
  </r>
  <r>
    <x v="603"/>
    <x v="207"/>
    <x v="0"/>
    <x v="0"/>
    <x v="1"/>
    <x v="9"/>
    <n v="2"/>
    <n v="8000"/>
    <n v="5000"/>
    <n v="16000"/>
    <x v="2"/>
  </r>
  <r>
    <x v="604"/>
    <x v="208"/>
    <x v="0"/>
    <x v="0"/>
    <x v="1"/>
    <x v="2"/>
    <n v="1"/>
    <n v="7500"/>
    <n v="2200"/>
    <n v="7500"/>
    <x v="1"/>
  </r>
  <r>
    <x v="605"/>
    <x v="208"/>
    <x v="1"/>
    <x v="0"/>
    <x v="1"/>
    <x v="9"/>
    <n v="1"/>
    <n v="8000"/>
    <n v="2500"/>
    <n v="8000"/>
    <x v="0"/>
  </r>
  <r>
    <x v="606"/>
    <x v="208"/>
    <x v="2"/>
    <x v="1"/>
    <x v="2"/>
    <x v="5"/>
    <n v="1"/>
    <n v="4000"/>
    <n v="1000"/>
    <n v="4000"/>
    <x v="1"/>
  </r>
  <r>
    <x v="607"/>
    <x v="208"/>
    <x v="2"/>
    <x v="2"/>
    <x v="1"/>
    <x v="7"/>
    <n v="1"/>
    <n v="2500"/>
    <n v="500"/>
    <n v="2500"/>
    <x v="1"/>
  </r>
  <r>
    <x v="608"/>
    <x v="209"/>
    <x v="0"/>
    <x v="1"/>
    <x v="3"/>
    <x v="4"/>
    <n v="1"/>
    <n v="3000"/>
    <n v="800"/>
    <n v="3000"/>
    <x v="2"/>
  </r>
  <r>
    <x v="609"/>
    <x v="209"/>
    <x v="1"/>
    <x v="1"/>
    <x v="1"/>
    <x v="2"/>
    <n v="1"/>
    <n v="7500"/>
    <n v="2200"/>
    <n v="7500"/>
    <x v="1"/>
  </r>
  <r>
    <x v="610"/>
    <x v="210"/>
    <x v="0"/>
    <x v="0"/>
    <x v="2"/>
    <x v="5"/>
    <n v="1"/>
    <n v="4000"/>
    <n v="1000"/>
    <n v="4000"/>
    <x v="2"/>
  </r>
  <r>
    <x v="611"/>
    <x v="210"/>
    <x v="2"/>
    <x v="2"/>
    <x v="1"/>
    <x v="2"/>
    <n v="1"/>
    <n v="7500"/>
    <n v="2200"/>
    <n v="7500"/>
    <x v="2"/>
  </r>
  <r>
    <x v="612"/>
    <x v="210"/>
    <x v="0"/>
    <x v="1"/>
    <x v="2"/>
    <x v="8"/>
    <n v="1"/>
    <n v="5000"/>
    <n v="1500"/>
    <n v="5000"/>
    <x v="0"/>
  </r>
  <r>
    <x v="613"/>
    <x v="211"/>
    <x v="0"/>
    <x v="2"/>
    <x v="0"/>
    <x v="1"/>
    <n v="1"/>
    <n v="2500"/>
    <n v="600"/>
    <n v="2500"/>
    <x v="1"/>
  </r>
  <r>
    <x v="614"/>
    <x v="211"/>
    <x v="0"/>
    <x v="1"/>
    <x v="1"/>
    <x v="11"/>
    <n v="1"/>
    <n v="7000"/>
    <n v="2000"/>
    <n v="7000"/>
    <x v="2"/>
  </r>
  <r>
    <x v="615"/>
    <x v="211"/>
    <x v="1"/>
    <x v="2"/>
    <x v="1"/>
    <x v="11"/>
    <n v="2"/>
    <n v="7000"/>
    <n v="4000"/>
    <n v="14000"/>
    <x v="0"/>
  </r>
  <r>
    <x v="616"/>
    <x v="211"/>
    <x v="1"/>
    <x v="1"/>
    <x v="3"/>
    <x v="6"/>
    <n v="1"/>
    <n v="5000"/>
    <n v="1500"/>
    <n v="5000"/>
    <x v="0"/>
  </r>
  <r>
    <x v="617"/>
    <x v="211"/>
    <x v="0"/>
    <x v="2"/>
    <x v="3"/>
    <x v="6"/>
    <n v="1"/>
    <n v="5000"/>
    <n v="1500"/>
    <n v="5000"/>
    <x v="0"/>
  </r>
  <r>
    <x v="618"/>
    <x v="211"/>
    <x v="2"/>
    <x v="0"/>
    <x v="3"/>
    <x v="4"/>
    <n v="2"/>
    <n v="3000"/>
    <n v="1600"/>
    <n v="6000"/>
    <x v="0"/>
  </r>
  <r>
    <x v="619"/>
    <x v="212"/>
    <x v="1"/>
    <x v="2"/>
    <x v="0"/>
    <x v="10"/>
    <n v="2"/>
    <n v="3000"/>
    <n v="1400"/>
    <n v="6000"/>
    <x v="2"/>
  </r>
  <r>
    <x v="620"/>
    <x v="212"/>
    <x v="0"/>
    <x v="1"/>
    <x v="1"/>
    <x v="9"/>
    <n v="2"/>
    <n v="8000"/>
    <n v="5000"/>
    <n v="16000"/>
    <x v="1"/>
  </r>
  <r>
    <x v="621"/>
    <x v="212"/>
    <x v="2"/>
    <x v="0"/>
    <x v="2"/>
    <x v="8"/>
    <n v="2"/>
    <n v="5000"/>
    <n v="3000"/>
    <n v="10000"/>
    <x v="2"/>
  </r>
  <r>
    <x v="622"/>
    <x v="212"/>
    <x v="2"/>
    <x v="2"/>
    <x v="2"/>
    <x v="8"/>
    <n v="1"/>
    <n v="5000"/>
    <n v="1500"/>
    <n v="5000"/>
    <x v="0"/>
  </r>
  <r>
    <x v="623"/>
    <x v="212"/>
    <x v="0"/>
    <x v="1"/>
    <x v="0"/>
    <x v="0"/>
    <n v="2"/>
    <n v="6000"/>
    <n v="3600"/>
    <n v="12000"/>
    <x v="2"/>
  </r>
  <r>
    <x v="624"/>
    <x v="213"/>
    <x v="0"/>
    <x v="2"/>
    <x v="1"/>
    <x v="7"/>
    <n v="1"/>
    <n v="2500"/>
    <n v="500"/>
    <n v="2500"/>
    <x v="2"/>
  </r>
  <r>
    <x v="625"/>
    <x v="213"/>
    <x v="0"/>
    <x v="1"/>
    <x v="1"/>
    <x v="7"/>
    <n v="2"/>
    <n v="2500"/>
    <n v="1000"/>
    <n v="5000"/>
    <x v="0"/>
  </r>
  <r>
    <x v="626"/>
    <x v="213"/>
    <x v="1"/>
    <x v="0"/>
    <x v="1"/>
    <x v="11"/>
    <n v="1"/>
    <n v="7000"/>
    <n v="2000"/>
    <n v="7000"/>
    <x v="1"/>
  </r>
  <r>
    <x v="627"/>
    <x v="213"/>
    <x v="1"/>
    <x v="1"/>
    <x v="0"/>
    <x v="10"/>
    <n v="1"/>
    <n v="3000"/>
    <n v="700"/>
    <n v="3000"/>
    <x v="2"/>
  </r>
  <r>
    <x v="628"/>
    <x v="214"/>
    <x v="2"/>
    <x v="2"/>
    <x v="2"/>
    <x v="3"/>
    <n v="1"/>
    <n v="3000"/>
    <n v="800"/>
    <n v="3000"/>
    <x v="1"/>
  </r>
  <r>
    <x v="629"/>
    <x v="215"/>
    <x v="2"/>
    <x v="0"/>
    <x v="0"/>
    <x v="10"/>
    <n v="1"/>
    <n v="3000"/>
    <n v="700"/>
    <n v="3000"/>
    <x v="2"/>
  </r>
  <r>
    <x v="630"/>
    <x v="215"/>
    <x v="2"/>
    <x v="0"/>
    <x v="3"/>
    <x v="12"/>
    <n v="1"/>
    <n v="2500"/>
    <n v="700"/>
    <n v="2500"/>
    <x v="2"/>
  </r>
  <r>
    <x v="631"/>
    <x v="215"/>
    <x v="1"/>
    <x v="1"/>
    <x v="1"/>
    <x v="2"/>
    <n v="1"/>
    <n v="7500"/>
    <n v="2200"/>
    <n v="7500"/>
    <x v="0"/>
  </r>
  <r>
    <x v="632"/>
    <x v="215"/>
    <x v="2"/>
    <x v="0"/>
    <x v="2"/>
    <x v="8"/>
    <n v="1"/>
    <n v="5000"/>
    <n v="1500"/>
    <n v="5000"/>
    <x v="1"/>
  </r>
  <r>
    <x v="633"/>
    <x v="216"/>
    <x v="2"/>
    <x v="0"/>
    <x v="3"/>
    <x v="12"/>
    <n v="1"/>
    <n v="2500"/>
    <n v="700"/>
    <n v="2500"/>
    <x v="1"/>
  </r>
  <r>
    <x v="634"/>
    <x v="216"/>
    <x v="1"/>
    <x v="2"/>
    <x v="1"/>
    <x v="11"/>
    <n v="1"/>
    <n v="7000"/>
    <n v="2000"/>
    <n v="7000"/>
    <x v="2"/>
  </r>
  <r>
    <x v="635"/>
    <x v="216"/>
    <x v="2"/>
    <x v="1"/>
    <x v="3"/>
    <x v="12"/>
    <n v="1"/>
    <n v="2500"/>
    <n v="700"/>
    <n v="2500"/>
    <x v="1"/>
  </r>
  <r>
    <x v="636"/>
    <x v="217"/>
    <x v="0"/>
    <x v="1"/>
    <x v="3"/>
    <x v="4"/>
    <n v="1"/>
    <n v="3000"/>
    <n v="800"/>
    <n v="3000"/>
    <x v="1"/>
  </r>
  <r>
    <x v="637"/>
    <x v="217"/>
    <x v="1"/>
    <x v="1"/>
    <x v="3"/>
    <x v="12"/>
    <n v="1"/>
    <n v="2500"/>
    <n v="700"/>
    <n v="2500"/>
    <x v="1"/>
  </r>
  <r>
    <x v="638"/>
    <x v="217"/>
    <x v="0"/>
    <x v="0"/>
    <x v="1"/>
    <x v="7"/>
    <n v="1"/>
    <n v="2500"/>
    <n v="500"/>
    <n v="2500"/>
    <x v="0"/>
  </r>
  <r>
    <x v="639"/>
    <x v="217"/>
    <x v="1"/>
    <x v="1"/>
    <x v="0"/>
    <x v="0"/>
    <n v="1"/>
    <n v="6000"/>
    <n v="1800"/>
    <n v="6000"/>
    <x v="2"/>
  </r>
  <r>
    <x v="640"/>
    <x v="217"/>
    <x v="2"/>
    <x v="0"/>
    <x v="2"/>
    <x v="5"/>
    <n v="1"/>
    <n v="4000"/>
    <n v="1000"/>
    <n v="4000"/>
    <x v="0"/>
  </r>
  <r>
    <x v="641"/>
    <x v="217"/>
    <x v="2"/>
    <x v="0"/>
    <x v="3"/>
    <x v="6"/>
    <n v="1"/>
    <n v="5000"/>
    <n v="1500"/>
    <n v="5000"/>
    <x v="0"/>
  </r>
  <r>
    <x v="642"/>
    <x v="217"/>
    <x v="1"/>
    <x v="1"/>
    <x v="0"/>
    <x v="0"/>
    <n v="1"/>
    <n v="6000"/>
    <n v="1800"/>
    <n v="6000"/>
    <x v="2"/>
  </r>
  <r>
    <x v="643"/>
    <x v="217"/>
    <x v="0"/>
    <x v="1"/>
    <x v="0"/>
    <x v="10"/>
    <n v="1"/>
    <n v="3000"/>
    <n v="700"/>
    <n v="3000"/>
    <x v="2"/>
  </r>
  <r>
    <x v="644"/>
    <x v="218"/>
    <x v="0"/>
    <x v="1"/>
    <x v="3"/>
    <x v="12"/>
    <n v="1"/>
    <n v="2500"/>
    <n v="700"/>
    <n v="2500"/>
    <x v="0"/>
  </r>
  <r>
    <x v="645"/>
    <x v="219"/>
    <x v="2"/>
    <x v="1"/>
    <x v="1"/>
    <x v="2"/>
    <n v="1"/>
    <n v="7500"/>
    <n v="2200"/>
    <n v="7500"/>
    <x v="2"/>
  </r>
  <r>
    <x v="646"/>
    <x v="219"/>
    <x v="0"/>
    <x v="2"/>
    <x v="3"/>
    <x v="6"/>
    <n v="1"/>
    <n v="5000"/>
    <n v="1500"/>
    <n v="5000"/>
    <x v="1"/>
  </r>
  <r>
    <x v="647"/>
    <x v="220"/>
    <x v="0"/>
    <x v="0"/>
    <x v="3"/>
    <x v="4"/>
    <n v="1"/>
    <n v="3000"/>
    <n v="800"/>
    <n v="3000"/>
    <x v="1"/>
  </r>
  <r>
    <x v="648"/>
    <x v="220"/>
    <x v="1"/>
    <x v="0"/>
    <x v="1"/>
    <x v="2"/>
    <n v="1"/>
    <n v="7500"/>
    <n v="2200"/>
    <n v="7500"/>
    <x v="0"/>
  </r>
  <r>
    <x v="649"/>
    <x v="220"/>
    <x v="1"/>
    <x v="0"/>
    <x v="1"/>
    <x v="11"/>
    <n v="1"/>
    <n v="7000"/>
    <n v="2000"/>
    <n v="7000"/>
    <x v="2"/>
  </r>
  <r>
    <x v="650"/>
    <x v="221"/>
    <x v="2"/>
    <x v="0"/>
    <x v="0"/>
    <x v="1"/>
    <n v="2"/>
    <n v="2500"/>
    <n v="1200"/>
    <n v="5000"/>
    <x v="2"/>
  </r>
  <r>
    <x v="651"/>
    <x v="221"/>
    <x v="2"/>
    <x v="0"/>
    <x v="2"/>
    <x v="5"/>
    <n v="1"/>
    <n v="4000"/>
    <n v="1000"/>
    <n v="4000"/>
    <x v="2"/>
  </r>
  <r>
    <x v="652"/>
    <x v="222"/>
    <x v="2"/>
    <x v="1"/>
    <x v="1"/>
    <x v="2"/>
    <n v="2"/>
    <n v="7500"/>
    <n v="4400"/>
    <n v="15000"/>
    <x v="2"/>
  </r>
  <r>
    <x v="653"/>
    <x v="223"/>
    <x v="2"/>
    <x v="0"/>
    <x v="3"/>
    <x v="6"/>
    <n v="1"/>
    <n v="5000"/>
    <n v="1500"/>
    <n v="5000"/>
    <x v="2"/>
  </r>
  <r>
    <x v="654"/>
    <x v="223"/>
    <x v="1"/>
    <x v="2"/>
    <x v="2"/>
    <x v="3"/>
    <n v="1"/>
    <n v="3000"/>
    <n v="800"/>
    <n v="3000"/>
    <x v="1"/>
  </r>
  <r>
    <x v="655"/>
    <x v="223"/>
    <x v="1"/>
    <x v="1"/>
    <x v="2"/>
    <x v="8"/>
    <n v="1"/>
    <n v="5000"/>
    <n v="1500"/>
    <n v="5000"/>
    <x v="0"/>
  </r>
  <r>
    <x v="656"/>
    <x v="224"/>
    <x v="2"/>
    <x v="1"/>
    <x v="1"/>
    <x v="7"/>
    <n v="1"/>
    <n v="2500"/>
    <n v="500"/>
    <n v="2500"/>
    <x v="1"/>
  </r>
  <r>
    <x v="657"/>
    <x v="224"/>
    <x v="2"/>
    <x v="1"/>
    <x v="3"/>
    <x v="6"/>
    <n v="1"/>
    <n v="5000"/>
    <n v="1500"/>
    <n v="5000"/>
    <x v="0"/>
  </r>
  <r>
    <x v="658"/>
    <x v="225"/>
    <x v="0"/>
    <x v="1"/>
    <x v="3"/>
    <x v="4"/>
    <n v="2"/>
    <n v="3000"/>
    <n v="1600"/>
    <n v="6000"/>
    <x v="1"/>
  </r>
  <r>
    <x v="659"/>
    <x v="225"/>
    <x v="2"/>
    <x v="2"/>
    <x v="0"/>
    <x v="0"/>
    <n v="1"/>
    <n v="6000"/>
    <n v="1800"/>
    <n v="6000"/>
    <x v="2"/>
  </r>
  <r>
    <x v="660"/>
    <x v="225"/>
    <x v="1"/>
    <x v="2"/>
    <x v="2"/>
    <x v="3"/>
    <n v="2"/>
    <n v="3000"/>
    <n v="1600"/>
    <n v="6000"/>
    <x v="2"/>
  </r>
  <r>
    <x v="661"/>
    <x v="225"/>
    <x v="1"/>
    <x v="0"/>
    <x v="2"/>
    <x v="5"/>
    <n v="1"/>
    <n v="4000"/>
    <n v="1000"/>
    <n v="4000"/>
    <x v="2"/>
  </r>
  <r>
    <x v="662"/>
    <x v="226"/>
    <x v="1"/>
    <x v="1"/>
    <x v="0"/>
    <x v="0"/>
    <n v="1"/>
    <n v="6000"/>
    <n v="1800"/>
    <n v="6000"/>
    <x v="1"/>
  </r>
  <r>
    <x v="663"/>
    <x v="226"/>
    <x v="0"/>
    <x v="0"/>
    <x v="3"/>
    <x v="12"/>
    <n v="1"/>
    <n v="2500"/>
    <n v="700"/>
    <n v="2500"/>
    <x v="0"/>
  </r>
  <r>
    <x v="664"/>
    <x v="226"/>
    <x v="2"/>
    <x v="2"/>
    <x v="1"/>
    <x v="2"/>
    <n v="2"/>
    <n v="7500"/>
    <n v="4400"/>
    <n v="15000"/>
    <x v="0"/>
  </r>
  <r>
    <x v="665"/>
    <x v="226"/>
    <x v="2"/>
    <x v="0"/>
    <x v="2"/>
    <x v="3"/>
    <n v="1"/>
    <n v="3000"/>
    <n v="800"/>
    <n v="3000"/>
    <x v="1"/>
  </r>
  <r>
    <x v="666"/>
    <x v="227"/>
    <x v="2"/>
    <x v="0"/>
    <x v="2"/>
    <x v="3"/>
    <n v="1"/>
    <n v="3000"/>
    <n v="800"/>
    <n v="3000"/>
    <x v="2"/>
  </r>
  <r>
    <x v="667"/>
    <x v="227"/>
    <x v="0"/>
    <x v="2"/>
    <x v="3"/>
    <x v="12"/>
    <n v="1"/>
    <n v="2500"/>
    <n v="700"/>
    <n v="2500"/>
    <x v="2"/>
  </r>
  <r>
    <x v="668"/>
    <x v="227"/>
    <x v="1"/>
    <x v="1"/>
    <x v="1"/>
    <x v="7"/>
    <n v="2"/>
    <n v="2500"/>
    <n v="1000"/>
    <n v="5000"/>
    <x v="0"/>
  </r>
  <r>
    <x v="669"/>
    <x v="228"/>
    <x v="2"/>
    <x v="0"/>
    <x v="2"/>
    <x v="8"/>
    <n v="1"/>
    <n v="5000"/>
    <n v="1500"/>
    <n v="5000"/>
    <x v="0"/>
  </r>
  <r>
    <x v="670"/>
    <x v="228"/>
    <x v="0"/>
    <x v="2"/>
    <x v="0"/>
    <x v="10"/>
    <n v="1"/>
    <n v="3000"/>
    <n v="700"/>
    <n v="3000"/>
    <x v="0"/>
  </r>
  <r>
    <x v="671"/>
    <x v="228"/>
    <x v="0"/>
    <x v="0"/>
    <x v="1"/>
    <x v="7"/>
    <n v="1"/>
    <n v="2500"/>
    <n v="500"/>
    <n v="2500"/>
    <x v="0"/>
  </r>
  <r>
    <x v="672"/>
    <x v="228"/>
    <x v="0"/>
    <x v="1"/>
    <x v="1"/>
    <x v="2"/>
    <n v="1"/>
    <n v="7500"/>
    <n v="2200"/>
    <n v="7500"/>
    <x v="0"/>
  </r>
  <r>
    <x v="673"/>
    <x v="228"/>
    <x v="1"/>
    <x v="2"/>
    <x v="1"/>
    <x v="7"/>
    <n v="2"/>
    <n v="2500"/>
    <n v="1000"/>
    <n v="5000"/>
    <x v="0"/>
  </r>
  <r>
    <x v="674"/>
    <x v="229"/>
    <x v="2"/>
    <x v="0"/>
    <x v="1"/>
    <x v="9"/>
    <n v="1"/>
    <n v="8000"/>
    <n v="2500"/>
    <n v="8000"/>
    <x v="0"/>
  </r>
  <r>
    <x v="675"/>
    <x v="230"/>
    <x v="1"/>
    <x v="0"/>
    <x v="2"/>
    <x v="3"/>
    <n v="2"/>
    <n v="3000"/>
    <n v="1600"/>
    <n v="6000"/>
    <x v="0"/>
  </r>
  <r>
    <x v="676"/>
    <x v="230"/>
    <x v="2"/>
    <x v="0"/>
    <x v="0"/>
    <x v="10"/>
    <n v="1"/>
    <n v="3000"/>
    <n v="700"/>
    <n v="3000"/>
    <x v="1"/>
  </r>
  <r>
    <x v="677"/>
    <x v="231"/>
    <x v="1"/>
    <x v="1"/>
    <x v="3"/>
    <x v="12"/>
    <n v="1"/>
    <n v="2500"/>
    <n v="700"/>
    <n v="2500"/>
    <x v="2"/>
  </r>
  <r>
    <x v="678"/>
    <x v="231"/>
    <x v="2"/>
    <x v="1"/>
    <x v="2"/>
    <x v="3"/>
    <n v="2"/>
    <n v="3000"/>
    <n v="1600"/>
    <n v="6000"/>
    <x v="0"/>
  </r>
  <r>
    <x v="679"/>
    <x v="232"/>
    <x v="0"/>
    <x v="0"/>
    <x v="0"/>
    <x v="10"/>
    <n v="1"/>
    <n v="3000"/>
    <n v="700"/>
    <n v="3000"/>
    <x v="2"/>
  </r>
  <r>
    <x v="680"/>
    <x v="232"/>
    <x v="0"/>
    <x v="1"/>
    <x v="0"/>
    <x v="10"/>
    <n v="1"/>
    <n v="3000"/>
    <n v="700"/>
    <n v="3000"/>
    <x v="1"/>
  </r>
  <r>
    <x v="681"/>
    <x v="232"/>
    <x v="0"/>
    <x v="1"/>
    <x v="2"/>
    <x v="8"/>
    <n v="2"/>
    <n v="5000"/>
    <n v="3000"/>
    <n v="10000"/>
    <x v="0"/>
  </r>
  <r>
    <x v="682"/>
    <x v="233"/>
    <x v="2"/>
    <x v="0"/>
    <x v="1"/>
    <x v="9"/>
    <n v="1"/>
    <n v="8000"/>
    <n v="2500"/>
    <n v="8000"/>
    <x v="2"/>
  </r>
  <r>
    <x v="683"/>
    <x v="233"/>
    <x v="1"/>
    <x v="0"/>
    <x v="1"/>
    <x v="7"/>
    <n v="1"/>
    <n v="2500"/>
    <n v="500"/>
    <n v="2500"/>
    <x v="0"/>
  </r>
  <r>
    <x v="684"/>
    <x v="233"/>
    <x v="1"/>
    <x v="2"/>
    <x v="0"/>
    <x v="0"/>
    <n v="1"/>
    <n v="6000"/>
    <n v="1800"/>
    <n v="6000"/>
    <x v="1"/>
  </r>
  <r>
    <x v="685"/>
    <x v="233"/>
    <x v="2"/>
    <x v="1"/>
    <x v="2"/>
    <x v="5"/>
    <n v="1"/>
    <n v="4000"/>
    <n v="1000"/>
    <n v="4000"/>
    <x v="2"/>
  </r>
  <r>
    <x v="686"/>
    <x v="234"/>
    <x v="0"/>
    <x v="1"/>
    <x v="1"/>
    <x v="11"/>
    <n v="1"/>
    <n v="7000"/>
    <n v="2000"/>
    <n v="7000"/>
    <x v="2"/>
  </r>
  <r>
    <x v="687"/>
    <x v="234"/>
    <x v="1"/>
    <x v="1"/>
    <x v="3"/>
    <x v="6"/>
    <n v="1"/>
    <n v="5000"/>
    <n v="1500"/>
    <n v="5000"/>
    <x v="0"/>
  </r>
  <r>
    <x v="688"/>
    <x v="234"/>
    <x v="1"/>
    <x v="2"/>
    <x v="0"/>
    <x v="0"/>
    <n v="2"/>
    <n v="6000"/>
    <n v="3600"/>
    <n v="12000"/>
    <x v="2"/>
  </r>
  <r>
    <x v="689"/>
    <x v="235"/>
    <x v="1"/>
    <x v="0"/>
    <x v="3"/>
    <x v="6"/>
    <n v="1"/>
    <n v="5000"/>
    <n v="1500"/>
    <n v="5000"/>
    <x v="2"/>
  </r>
  <r>
    <x v="690"/>
    <x v="235"/>
    <x v="2"/>
    <x v="1"/>
    <x v="2"/>
    <x v="5"/>
    <n v="2"/>
    <n v="4000"/>
    <n v="2000"/>
    <n v="8000"/>
    <x v="2"/>
  </r>
  <r>
    <x v="691"/>
    <x v="235"/>
    <x v="0"/>
    <x v="0"/>
    <x v="2"/>
    <x v="8"/>
    <n v="2"/>
    <n v="5000"/>
    <n v="3000"/>
    <n v="10000"/>
    <x v="0"/>
  </r>
  <r>
    <x v="692"/>
    <x v="235"/>
    <x v="1"/>
    <x v="2"/>
    <x v="0"/>
    <x v="0"/>
    <n v="1"/>
    <n v="6000"/>
    <n v="1800"/>
    <n v="6000"/>
    <x v="1"/>
  </r>
  <r>
    <x v="693"/>
    <x v="235"/>
    <x v="0"/>
    <x v="2"/>
    <x v="0"/>
    <x v="0"/>
    <n v="1"/>
    <n v="6000"/>
    <n v="1800"/>
    <n v="6000"/>
    <x v="0"/>
  </r>
  <r>
    <x v="694"/>
    <x v="236"/>
    <x v="0"/>
    <x v="0"/>
    <x v="2"/>
    <x v="8"/>
    <n v="1"/>
    <n v="5000"/>
    <n v="1500"/>
    <n v="5000"/>
    <x v="1"/>
  </r>
  <r>
    <x v="695"/>
    <x v="236"/>
    <x v="1"/>
    <x v="2"/>
    <x v="3"/>
    <x v="12"/>
    <n v="1"/>
    <n v="2500"/>
    <n v="700"/>
    <n v="2500"/>
    <x v="2"/>
  </r>
  <r>
    <x v="696"/>
    <x v="236"/>
    <x v="1"/>
    <x v="0"/>
    <x v="3"/>
    <x v="4"/>
    <n v="1"/>
    <n v="3000"/>
    <n v="800"/>
    <n v="3000"/>
    <x v="2"/>
  </r>
  <r>
    <x v="697"/>
    <x v="236"/>
    <x v="0"/>
    <x v="0"/>
    <x v="2"/>
    <x v="5"/>
    <n v="1"/>
    <n v="4000"/>
    <n v="1000"/>
    <n v="4000"/>
    <x v="2"/>
  </r>
  <r>
    <x v="698"/>
    <x v="236"/>
    <x v="2"/>
    <x v="2"/>
    <x v="3"/>
    <x v="12"/>
    <n v="1"/>
    <n v="2500"/>
    <n v="700"/>
    <n v="2500"/>
    <x v="0"/>
  </r>
  <r>
    <x v="699"/>
    <x v="236"/>
    <x v="1"/>
    <x v="2"/>
    <x v="1"/>
    <x v="9"/>
    <n v="1"/>
    <n v="8000"/>
    <n v="2500"/>
    <n v="8000"/>
    <x v="2"/>
  </r>
  <r>
    <x v="700"/>
    <x v="237"/>
    <x v="0"/>
    <x v="2"/>
    <x v="2"/>
    <x v="8"/>
    <n v="2"/>
    <n v="5000"/>
    <n v="3000"/>
    <n v="10000"/>
    <x v="0"/>
  </r>
  <r>
    <x v="701"/>
    <x v="238"/>
    <x v="0"/>
    <x v="1"/>
    <x v="3"/>
    <x v="6"/>
    <n v="1"/>
    <n v="5000"/>
    <n v="1500"/>
    <n v="5000"/>
    <x v="1"/>
  </r>
  <r>
    <x v="702"/>
    <x v="238"/>
    <x v="1"/>
    <x v="1"/>
    <x v="3"/>
    <x v="4"/>
    <n v="1"/>
    <n v="3000"/>
    <n v="800"/>
    <n v="3000"/>
    <x v="0"/>
  </r>
  <r>
    <x v="703"/>
    <x v="238"/>
    <x v="2"/>
    <x v="0"/>
    <x v="0"/>
    <x v="0"/>
    <n v="2"/>
    <n v="6000"/>
    <n v="3600"/>
    <n v="12000"/>
    <x v="1"/>
  </r>
  <r>
    <x v="704"/>
    <x v="238"/>
    <x v="1"/>
    <x v="1"/>
    <x v="1"/>
    <x v="9"/>
    <n v="1"/>
    <n v="8000"/>
    <n v="2500"/>
    <n v="8000"/>
    <x v="1"/>
  </r>
  <r>
    <x v="705"/>
    <x v="239"/>
    <x v="0"/>
    <x v="0"/>
    <x v="1"/>
    <x v="11"/>
    <n v="1"/>
    <n v="7000"/>
    <n v="2000"/>
    <n v="7000"/>
    <x v="1"/>
  </r>
  <r>
    <x v="706"/>
    <x v="239"/>
    <x v="0"/>
    <x v="0"/>
    <x v="2"/>
    <x v="8"/>
    <n v="1"/>
    <n v="5000"/>
    <n v="1500"/>
    <n v="5000"/>
    <x v="1"/>
  </r>
  <r>
    <x v="707"/>
    <x v="240"/>
    <x v="2"/>
    <x v="2"/>
    <x v="1"/>
    <x v="11"/>
    <n v="2"/>
    <n v="7000"/>
    <n v="4000"/>
    <n v="14000"/>
    <x v="0"/>
  </r>
  <r>
    <x v="708"/>
    <x v="241"/>
    <x v="1"/>
    <x v="2"/>
    <x v="0"/>
    <x v="0"/>
    <n v="2"/>
    <n v="6000"/>
    <n v="3600"/>
    <n v="12000"/>
    <x v="2"/>
  </r>
  <r>
    <x v="709"/>
    <x v="241"/>
    <x v="0"/>
    <x v="2"/>
    <x v="2"/>
    <x v="8"/>
    <n v="1"/>
    <n v="5000"/>
    <n v="1500"/>
    <n v="5000"/>
    <x v="2"/>
  </r>
  <r>
    <x v="710"/>
    <x v="241"/>
    <x v="2"/>
    <x v="0"/>
    <x v="0"/>
    <x v="1"/>
    <n v="1"/>
    <n v="2500"/>
    <n v="600"/>
    <n v="2500"/>
    <x v="1"/>
  </r>
  <r>
    <x v="711"/>
    <x v="242"/>
    <x v="1"/>
    <x v="2"/>
    <x v="3"/>
    <x v="6"/>
    <n v="1"/>
    <n v="5000"/>
    <n v="1500"/>
    <n v="5000"/>
    <x v="1"/>
  </r>
  <r>
    <x v="712"/>
    <x v="242"/>
    <x v="0"/>
    <x v="2"/>
    <x v="0"/>
    <x v="10"/>
    <n v="2"/>
    <n v="3000"/>
    <n v="1400"/>
    <n v="6000"/>
    <x v="0"/>
  </r>
  <r>
    <x v="713"/>
    <x v="242"/>
    <x v="2"/>
    <x v="1"/>
    <x v="2"/>
    <x v="8"/>
    <n v="1"/>
    <n v="5000"/>
    <n v="1500"/>
    <n v="5000"/>
    <x v="1"/>
  </r>
  <r>
    <x v="714"/>
    <x v="243"/>
    <x v="1"/>
    <x v="0"/>
    <x v="0"/>
    <x v="0"/>
    <n v="1"/>
    <n v="6000"/>
    <n v="1800"/>
    <n v="6000"/>
    <x v="0"/>
  </r>
  <r>
    <x v="715"/>
    <x v="244"/>
    <x v="0"/>
    <x v="2"/>
    <x v="2"/>
    <x v="8"/>
    <n v="1"/>
    <n v="5000"/>
    <n v="1500"/>
    <n v="5000"/>
    <x v="1"/>
  </r>
  <r>
    <x v="716"/>
    <x v="244"/>
    <x v="2"/>
    <x v="0"/>
    <x v="3"/>
    <x v="4"/>
    <n v="1"/>
    <n v="3000"/>
    <n v="800"/>
    <n v="3000"/>
    <x v="2"/>
  </r>
  <r>
    <x v="717"/>
    <x v="244"/>
    <x v="1"/>
    <x v="2"/>
    <x v="2"/>
    <x v="8"/>
    <n v="1"/>
    <n v="5000"/>
    <n v="1500"/>
    <n v="5000"/>
    <x v="2"/>
  </r>
  <r>
    <x v="718"/>
    <x v="245"/>
    <x v="1"/>
    <x v="2"/>
    <x v="1"/>
    <x v="9"/>
    <n v="1"/>
    <n v="8000"/>
    <n v="2500"/>
    <n v="8000"/>
    <x v="0"/>
  </r>
  <r>
    <x v="719"/>
    <x v="245"/>
    <x v="1"/>
    <x v="2"/>
    <x v="2"/>
    <x v="8"/>
    <n v="1"/>
    <n v="5000"/>
    <n v="1500"/>
    <n v="5000"/>
    <x v="0"/>
  </r>
  <r>
    <x v="720"/>
    <x v="245"/>
    <x v="1"/>
    <x v="0"/>
    <x v="3"/>
    <x v="6"/>
    <n v="1"/>
    <n v="5000"/>
    <n v="1500"/>
    <n v="5000"/>
    <x v="0"/>
  </r>
  <r>
    <x v="721"/>
    <x v="246"/>
    <x v="1"/>
    <x v="0"/>
    <x v="2"/>
    <x v="5"/>
    <n v="2"/>
    <n v="4000"/>
    <n v="2000"/>
    <n v="8000"/>
    <x v="2"/>
  </r>
  <r>
    <x v="722"/>
    <x v="246"/>
    <x v="1"/>
    <x v="2"/>
    <x v="3"/>
    <x v="12"/>
    <n v="1"/>
    <n v="2500"/>
    <n v="700"/>
    <n v="2500"/>
    <x v="2"/>
  </r>
  <r>
    <x v="723"/>
    <x v="247"/>
    <x v="2"/>
    <x v="2"/>
    <x v="1"/>
    <x v="2"/>
    <n v="1"/>
    <n v="7500"/>
    <n v="2200"/>
    <n v="7500"/>
    <x v="0"/>
  </r>
  <r>
    <x v="724"/>
    <x v="247"/>
    <x v="1"/>
    <x v="0"/>
    <x v="1"/>
    <x v="2"/>
    <n v="1"/>
    <n v="7500"/>
    <n v="2200"/>
    <n v="7500"/>
    <x v="0"/>
  </r>
  <r>
    <x v="725"/>
    <x v="247"/>
    <x v="1"/>
    <x v="2"/>
    <x v="3"/>
    <x v="4"/>
    <n v="2"/>
    <n v="3000"/>
    <n v="1600"/>
    <n v="6000"/>
    <x v="1"/>
  </r>
  <r>
    <x v="726"/>
    <x v="247"/>
    <x v="2"/>
    <x v="0"/>
    <x v="1"/>
    <x v="11"/>
    <n v="2"/>
    <n v="7000"/>
    <n v="4000"/>
    <n v="14000"/>
    <x v="1"/>
  </r>
  <r>
    <x v="727"/>
    <x v="247"/>
    <x v="0"/>
    <x v="1"/>
    <x v="3"/>
    <x v="4"/>
    <n v="1"/>
    <n v="3000"/>
    <n v="800"/>
    <n v="3000"/>
    <x v="2"/>
  </r>
  <r>
    <x v="728"/>
    <x v="247"/>
    <x v="2"/>
    <x v="2"/>
    <x v="2"/>
    <x v="8"/>
    <n v="1"/>
    <n v="5000"/>
    <n v="1500"/>
    <n v="5000"/>
    <x v="2"/>
  </r>
  <r>
    <x v="729"/>
    <x v="248"/>
    <x v="1"/>
    <x v="2"/>
    <x v="0"/>
    <x v="0"/>
    <n v="2"/>
    <n v="6000"/>
    <n v="3600"/>
    <n v="12000"/>
    <x v="1"/>
  </r>
  <r>
    <x v="730"/>
    <x v="249"/>
    <x v="0"/>
    <x v="2"/>
    <x v="2"/>
    <x v="3"/>
    <n v="2"/>
    <n v="3000"/>
    <n v="1600"/>
    <n v="6000"/>
    <x v="2"/>
  </r>
  <r>
    <x v="731"/>
    <x v="249"/>
    <x v="2"/>
    <x v="2"/>
    <x v="2"/>
    <x v="3"/>
    <n v="1"/>
    <n v="3000"/>
    <n v="800"/>
    <n v="3000"/>
    <x v="2"/>
  </r>
  <r>
    <x v="732"/>
    <x v="250"/>
    <x v="2"/>
    <x v="2"/>
    <x v="2"/>
    <x v="3"/>
    <n v="1"/>
    <n v="3000"/>
    <n v="800"/>
    <n v="3000"/>
    <x v="0"/>
  </r>
  <r>
    <x v="733"/>
    <x v="250"/>
    <x v="2"/>
    <x v="0"/>
    <x v="1"/>
    <x v="9"/>
    <n v="2"/>
    <n v="8000"/>
    <n v="5000"/>
    <n v="16000"/>
    <x v="1"/>
  </r>
  <r>
    <x v="734"/>
    <x v="251"/>
    <x v="1"/>
    <x v="1"/>
    <x v="1"/>
    <x v="7"/>
    <n v="1"/>
    <n v="2500"/>
    <n v="500"/>
    <n v="2500"/>
    <x v="1"/>
  </r>
  <r>
    <x v="735"/>
    <x v="251"/>
    <x v="1"/>
    <x v="2"/>
    <x v="3"/>
    <x v="4"/>
    <n v="2"/>
    <n v="3000"/>
    <n v="1600"/>
    <n v="6000"/>
    <x v="2"/>
  </r>
  <r>
    <x v="736"/>
    <x v="251"/>
    <x v="2"/>
    <x v="1"/>
    <x v="2"/>
    <x v="8"/>
    <n v="1"/>
    <n v="5000"/>
    <n v="1500"/>
    <n v="5000"/>
    <x v="2"/>
  </r>
  <r>
    <x v="737"/>
    <x v="251"/>
    <x v="2"/>
    <x v="1"/>
    <x v="0"/>
    <x v="0"/>
    <n v="1"/>
    <n v="6000"/>
    <n v="1800"/>
    <n v="6000"/>
    <x v="0"/>
  </r>
  <r>
    <x v="738"/>
    <x v="251"/>
    <x v="1"/>
    <x v="0"/>
    <x v="3"/>
    <x v="6"/>
    <n v="1"/>
    <n v="5000"/>
    <n v="1500"/>
    <n v="5000"/>
    <x v="2"/>
  </r>
  <r>
    <x v="739"/>
    <x v="252"/>
    <x v="0"/>
    <x v="0"/>
    <x v="2"/>
    <x v="5"/>
    <n v="1"/>
    <n v="4000"/>
    <n v="1000"/>
    <n v="4000"/>
    <x v="0"/>
  </r>
  <r>
    <x v="740"/>
    <x v="252"/>
    <x v="2"/>
    <x v="2"/>
    <x v="2"/>
    <x v="5"/>
    <n v="1"/>
    <n v="4000"/>
    <n v="1000"/>
    <n v="4000"/>
    <x v="1"/>
  </r>
  <r>
    <x v="741"/>
    <x v="252"/>
    <x v="2"/>
    <x v="1"/>
    <x v="0"/>
    <x v="10"/>
    <n v="1"/>
    <n v="3000"/>
    <n v="700"/>
    <n v="3000"/>
    <x v="1"/>
  </r>
  <r>
    <x v="742"/>
    <x v="252"/>
    <x v="2"/>
    <x v="2"/>
    <x v="1"/>
    <x v="2"/>
    <n v="1"/>
    <n v="7500"/>
    <n v="2200"/>
    <n v="7500"/>
    <x v="2"/>
  </r>
  <r>
    <x v="743"/>
    <x v="253"/>
    <x v="1"/>
    <x v="1"/>
    <x v="1"/>
    <x v="2"/>
    <n v="2"/>
    <n v="7500"/>
    <n v="4400"/>
    <n v="15000"/>
    <x v="1"/>
  </r>
  <r>
    <x v="744"/>
    <x v="253"/>
    <x v="1"/>
    <x v="1"/>
    <x v="0"/>
    <x v="0"/>
    <n v="1"/>
    <n v="6000"/>
    <n v="1800"/>
    <n v="6000"/>
    <x v="1"/>
  </r>
  <r>
    <x v="745"/>
    <x v="254"/>
    <x v="2"/>
    <x v="1"/>
    <x v="1"/>
    <x v="2"/>
    <n v="1"/>
    <n v="7500"/>
    <n v="2200"/>
    <n v="7500"/>
    <x v="0"/>
  </r>
  <r>
    <x v="746"/>
    <x v="254"/>
    <x v="1"/>
    <x v="1"/>
    <x v="1"/>
    <x v="11"/>
    <n v="2"/>
    <n v="7000"/>
    <n v="4000"/>
    <n v="14000"/>
    <x v="1"/>
  </r>
  <r>
    <x v="747"/>
    <x v="254"/>
    <x v="1"/>
    <x v="2"/>
    <x v="3"/>
    <x v="4"/>
    <n v="2"/>
    <n v="3000"/>
    <n v="1600"/>
    <n v="6000"/>
    <x v="1"/>
  </r>
  <r>
    <x v="748"/>
    <x v="254"/>
    <x v="0"/>
    <x v="1"/>
    <x v="3"/>
    <x v="12"/>
    <n v="2"/>
    <n v="2500"/>
    <n v="1400"/>
    <n v="5000"/>
    <x v="0"/>
  </r>
  <r>
    <x v="749"/>
    <x v="254"/>
    <x v="2"/>
    <x v="2"/>
    <x v="3"/>
    <x v="4"/>
    <n v="1"/>
    <n v="3000"/>
    <n v="800"/>
    <n v="3000"/>
    <x v="0"/>
  </r>
  <r>
    <x v="750"/>
    <x v="255"/>
    <x v="1"/>
    <x v="1"/>
    <x v="1"/>
    <x v="11"/>
    <n v="2"/>
    <n v="7000"/>
    <n v="4000"/>
    <n v="14000"/>
    <x v="0"/>
  </r>
  <r>
    <x v="751"/>
    <x v="256"/>
    <x v="2"/>
    <x v="2"/>
    <x v="1"/>
    <x v="9"/>
    <n v="1"/>
    <n v="8000"/>
    <n v="2500"/>
    <n v="8000"/>
    <x v="2"/>
  </r>
  <r>
    <x v="752"/>
    <x v="256"/>
    <x v="2"/>
    <x v="1"/>
    <x v="1"/>
    <x v="2"/>
    <n v="1"/>
    <n v="7500"/>
    <n v="2200"/>
    <n v="7500"/>
    <x v="2"/>
  </r>
  <r>
    <x v="753"/>
    <x v="256"/>
    <x v="1"/>
    <x v="1"/>
    <x v="0"/>
    <x v="10"/>
    <n v="2"/>
    <n v="3000"/>
    <n v="1400"/>
    <n v="6000"/>
    <x v="0"/>
  </r>
  <r>
    <x v="754"/>
    <x v="256"/>
    <x v="1"/>
    <x v="2"/>
    <x v="1"/>
    <x v="7"/>
    <n v="1"/>
    <n v="2500"/>
    <n v="500"/>
    <n v="2500"/>
    <x v="1"/>
  </r>
  <r>
    <x v="755"/>
    <x v="257"/>
    <x v="1"/>
    <x v="1"/>
    <x v="3"/>
    <x v="12"/>
    <n v="1"/>
    <n v="2500"/>
    <n v="700"/>
    <n v="2500"/>
    <x v="1"/>
  </r>
  <r>
    <x v="756"/>
    <x v="257"/>
    <x v="0"/>
    <x v="0"/>
    <x v="1"/>
    <x v="11"/>
    <n v="1"/>
    <n v="7000"/>
    <n v="2000"/>
    <n v="7000"/>
    <x v="1"/>
  </r>
  <r>
    <x v="757"/>
    <x v="257"/>
    <x v="2"/>
    <x v="2"/>
    <x v="1"/>
    <x v="2"/>
    <n v="1"/>
    <n v="7500"/>
    <n v="2200"/>
    <n v="7500"/>
    <x v="2"/>
  </r>
  <r>
    <x v="758"/>
    <x v="257"/>
    <x v="2"/>
    <x v="2"/>
    <x v="3"/>
    <x v="12"/>
    <n v="1"/>
    <n v="2500"/>
    <n v="700"/>
    <n v="2500"/>
    <x v="1"/>
  </r>
  <r>
    <x v="759"/>
    <x v="257"/>
    <x v="0"/>
    <x v="2"/>
    <x v="0"/>
    <x v="1"/>
    <n v="2"/>
    <n v="2500"/>
    <n v="1200"/>
    <n v="5000"/>
    <x v="2"/>
  </r>
  <r>
    <x v="760"/>
    <x v="258"/>
    <x v="0"/>
    <x v="0"/>
    <x v="2"/>
    <x v="8"/>
    <n v="1"/>
    <n v="5000"/>
    <n v="1500"/>
    <n v="5000"/>
    <x v="1"/>
  </r>
  <r>
    <x v="761"/>
    <x v="258"/>
    <x v="1"/>
    <x v="2"/>
    <x v="0"/>
    <x v="10"/>
    <n v="1"/>
    <n v="3000"/>
    <n v="700"/>
    <n v="3000"/>
    <x v="2"/>
  </r>
  <r>
    <x v="762"/>
    <x v="258"/>
    <x v="1"/>
    <x v="2"/>
    <x v="0"/>
    <x v="10"/>
    <n v="1"/>
    <n v="3000"/>
    <n v="700"/>
    <n v="3000"/>
    <x v="1"/>
  </r>
  <r>
    <x v="763"/>
    <x v="259"/>
    <x v="1"/>
    <x v="2"/>
    <x v="3"/>
    <x v="12"/>
    <n v="1"/>
    <n v="2500"/>
    <n v="700"/>
    <n v="2500"/>
    <x v="1"/>
  </r>
  <r>
    <x v="764"/>
    <x v="260"/>
    <x v="2"/>
    <x v="0"/>
    <x v="0"/>
    <x v="0"/>
    <n v="1"/>
    <n v="6000"/>
    <n v="1800"/>
    <n v="6000"/>
    <x v="2"/>
  </r>
  <r>
    <x v="765"/>
    <x v="261"/>
    <x v="1"/>
    <x v="0"/>
    <x v="0"/>
    <x v="1"/>
    <n v="2"/>
    <n v="2500"/>
    <n v="1200"/>
    <n v="5000"/>
    <x v="0"/>
  </r>
  <r>
    <x v="766"/>
    <x v="261"/>
    <x v="1"/>
    <x v="1"/>
    <x v="0"/>
    <x v="10"/>
    <n v="2"/>
    <n v="3000"/>
    <n v="1400"/>
    <n v="6000"/>
    <x v="1"/>
  </r>
  <r>
    <x v="767"/>
    <x v="261"/>
    <x v="0"/>
    <x v="2"/>
    <x v="0"/>
    <x v="1"/>
    <n v="1"/>
    <n v="2500"/>
    <n v="600"/>
    <n v="2500"/>
    <x v="2"/>
  </r>
  <r>
    <x v="768"/>
    <x v="262"/>
    <x v="0"/>
    <x v="1"/>
    <x v="3"/>
    <x v="12"/>
    <n v="1"/>
    <n v="2500"/>
    <n v="700"/>
    <n v="2500"/>
    <x v="0"/>
  </r>
  <r>
    <x v="769"/>
    <x v="262"/>
    <x v="0"/>
    <x v="0"/>
    <x v="0"/>
    <x v="1"/>
    <n v="1"/>
    <n v="2500"/>
    <n v="600"/>
    <n v="2500"/>
    <x v="2"/>
  </r>
  <r>
    <x v="770"/>
    <x v="262"/>
    <x v="1"/>
    <x v="2"/>
    <x v="0"/>
    <x v="1"/>
    <n v="1"/>
    <n v="2500"/>
    <n v="600"/>
    <n v="2500"/>
    <x v="0"/>
  </r>
  <r>
    <x v="771"/>
    <x v="263"/>
    <x v="0"/>
    <x v="0"/>
    <x v="2"/>
    <x v="3"/>
    <n v="2"/>
    <n v="3000"/>
    <n v="1600"/>
    <n v="6000"/>
    <x v="2"/>
  </r>
  <r>
    <x v="772"/>
    <x v="263"/>
    <x v="0"/>
    <x v="1"/>
    <x v="0"/>
    <x v="1"/>
    <n v="1"/>
    <n v="2500"/>
    <n v="600"/>
    <n v="2500"/>
    <x v="0"/>
  </r>
  <r>
    <x v="773"/>
    <x v="263"/>
    <x v="0"/>
    <x v="2"/>
    <x v="0"/>
    <x v="0"/>
    <n v="1"/>
    <n v="6000"/>
    <n v="1800"/>
    <n v="6000"/>
    <x v="0"/>
  </r>
  <r>
    <x v="774"/>
    <x v="263"/>
    <x v="2"/>
    <x v="1"/>
    <x v="0"/>
    <x v="10"/>
    <n v="2"/>
    <n v="3000"/>
    <n v="1400"/>
    <n v="6000"/>
    <x v="0"/>
  </r>
  <r>
    <x v="775"/>
    <x v="264"/>
    <x v="0"/>
    <x v="1"/>
    <x v="2"/>
    <x v="5"/>
    <n v="1"/>
    <n v="4000"/>
    <n v="1000"/>
    <n v="4000"/>
    <x v="1"/>
  </r>
  <r>
    <x v="776"/>
    <x v="264"/>
    <x v="0"/>
    <x v="0"/>
    <x v="3"/>
    <x v="4"/>
    <n v="1"/>
    <n v="3000"/>
    <n v="800"/>
    <n v="3000"/>
    <x v="2"/>
  </r>
  <r>
    <x v="777"/>
    <x v="264"/>
    <x v="0"/>
    <x v="1"/>
    <x v="2"/>
    <x v="8"/>
    <n v="1"/>
    <n v="5000"/>
    <n v="1500"/>
    <n v="5000"/>
    <x v="2"/>
  </r>
  <r>
    <x v="778"/>
    <x v="265"/>
    <x v="1"/>
    <x v="2"/>
    <x v="3"/>
    <x v="4"/>
    <n v="1"/>
    <n v="3000"/>
    <n v="800"/>
    <n v="3000"/>
    <x v="1"/>
  </r>
  <r>
    <x v="779"/>
    <x v="265"/>
    <x v="1"/>
    <x v="1"/>
    <x v="2"/>
    <x v="5"/>
    <n v="1"/>
    <n v="4000"/>
    <n v="1000"/>
    <n v="4000"/>
    <x v="2"/>
  </r>
  <r>
    <x v="780"/>
    <x v="265"/>
    <x v="0"/>
    <x v="1"/>
    <x v="2"/>
    <x v="5"/>
    <n v="1"/>
    <n v="4000"/>
    <n v="1000"/>
    <n v="4000"/>
    <x v="2"/>
  </r>
  <r>
    <x v="781"/>
    <x v="265"/>
    <x v="1"/>
    <x v="0"/>
    <x v="3"/>
    <x v="4"/>
    <n v="2"/>
    <n v="3000"/>
    <n v="1600"/>
    <n v="6000"/>
    <x v="2"/>
  </r>
  <r>
    <x v="782"/>
    <x v="265"/>
    <x v="2"/>
    <x v="2"/>
    <x v="1"/>
    <x v="2"/>
    <n v="1"/>
    <n v="7500"/>
    <n v="2200"/>
    <n v="7500"/>
    <x v="0"/>
  </r>
  <r>
    <x v="783"/>
    <x v="265"/>
    <x v="0"/>
    <x v="2"/>
    <x v="2"/>
    <x v="8"/>
    <n v="1"/>
    <n v="5000"/>
    <n v="1500"/>
    <n v="5000"/>
    <x v="1"/>
  </r>
  <r>
    <x v="784"/>
    <x v="266"/>
    <x v="1"/>
    <x v="1"/>
    <x v="2"/>
    <x v="3"/>
    <n v="1"/>
    <n v="3000"/>
    <n v="800"/>
    <n v="3000"/>
    <x v="0"/>
  </r>
  <r>
    <x v="785"/>
    <x v="266"/>
    <x v="1"/>
    <x v="1"/>
    <x v="1"/>
    <x v="2"/>
    <n v="2"/>
    <n v="7500"/>
    <n v="4400"/>
    <n v="15000"/>
    <x v="0"/>
  </r>
  <r>
    <x v="786"/>
    <x v="266"/>
    <x v="2"/>
    <x v="0"/>
    <x v="1"/>
    <x v="9"/>
    <n v="1"/>
    <n v="8000"/>
    <n v="2500"/>
    <n v="8000"/>
    <x v="2"/>
  </r>
  <r>
    <x v="787"/>
    <x v="266"/>
    <x v="2"/>
    <x v="1"/>
    <x v="2"/>
    <x v="8"/>
    <n v="1"/>
    <n v="5000"/>
    <n v="1500"/>
    <n v="5000"/>
    <x v="2"/>
  </r>
  <r>
    <x v="788"/>
    <x v="267"/>
    <x v="2"/>
    <x v="0"/>
    <x v="2"/>
    <x v="5"/>
    <n v="1"/>
    <n v="4000"/>
    <n v="1000"/>
    <n v="4000"/>
    <x v="2"/>
  </r>
  <r>
    <x v="789"/>
    <x v="267"/>
    <x v="0"/>
    <x v="1"/>
    <x v="3"/>
    <x v="6"/>
    <n v="1"/>
    <n v="5000"/>
    <n v="1500"/>
    <n v="5000"/>
    <x v="1"/>
  </r>
  <r>
    <x v="790"/>
    <x v="267"/>
    <x v="1"/>
    <x v="1"/>
    <x v="3"/>
    <x v="12"/>
    <n v="1"/>
    <n v="2500"/>
    <n v="700"/>
    <n v="2500"/>
    <x v="2"/>
  </r>
  <r>
    <x v="791"/>
    <x v="267"/>
    <x v="1"/>
    <x v="1"/>
    <x v="1"/>
    <x v="9"/>
    <n v="1"/>
    <n v="8000"/>
    <n v="2500"/>
    <n v="8000"/>
    <x v="2"/>
  </r>
  <r>
    <x v="792"/>
    <x v="267"/>
    <x v="1"/>
    <x v="0"/>
    <x v="3"/>
    <x v="6"/>
    <n v="2"/>
    <n v="5000"/>
    <n v="3000"/>
    <n v="10000"/>
    <x v="1"/>
  </r>
  <r>
    <x v="793"/>
    <x v="268"/>
    <x v="2"/>
    <x v="1"/>
    <x v="2"/>
    <x v="8"/>
    <n v="2"/>
    <n v="5000"/>
    <n v="3000"/>
    <n v="10000"/>
    <x v="1"/>
  </r>
  <r>
    <x v="794"/>
    <x v="268"/>
    <x v="0"/>
    <x v="0"/>
    <x v="0"/>
    <x v="10"/>
    <n v="1"/>
    <n v="3000"/>
    <n v="700"/>
    <n v="3000"/>
    <x v="2"/>
  </r>
  <r>
    <x v="795"/>
    <x v="268"/>
    <x v="1"/>
    <x v="1"/>
    <x v="0"/>
    <x v="1"/>
    <n v="1"/>
    <n v="2500"/>
    <n v="600"/>
    <n v="2500"/>
    <x v="0"/>
  </r>
  <r>
    <x v="796"/>
    <x v="268"/>
    <x v="2"/>
    <x v="0"/>
    <x v="2"/>
    <x v="3"/>
    <n v="1"/>
    <n v="3000"/>
    <n v="800"/>
    <n v="3000"/>
    <x v="0"/>
  </r>
  <r>
    <x v="797"/>
    <x v="268"/>
    <x v="2"/>
    <x v="0"/>
    <x v="1"/>
    <x v="7"/>
    <n v="1"/>
    <n v="2500"/>
    <n v="500"/>
    <n v="2500"/>
    <x v="1"/>
  </r>
  <r>
    <x v="798"/>
    <x v="269"/>
    <x v="2"/>
    <x v="0"/>
    <x v="0"/>
    <x v="0"/>
    <n v="2"/>
    <n v="6000"/>
    <n v="3600"/>
    <n v="12000"/>
    <x v="2"/>
  </r>
  <r>
    <x v="799"/>
    <x v="269"/>
    <x v="2"/>
    <x v="1"/>
    <x v="1"/>
    <x v="2"/>
    <n v="1"/>
    <n v="7500"/>
    <n v="2200"/>
    <n v="7500"/>
    <x v="1"/>
  </r>
  <r>
    <x v="800"/>
    <x v="270"/>
    <x v="2"/>
    <x v="1"/>
    <x v="3"/>
    <x v="12"/>
    <n v="1"/>
    <n v="2500"/>
    <n v="700"/>
    <n v="2500"/>
    <x v="2"/>
  </r>
  <r>
    <x v="801"/>
    <x v="271"/>
    <x v="1"/>
    <x v="1"/>
    <x v="3"/>
    <x v="6"/>
    <n v="1"/>
    <n v="5000"/>
    <n v="1500"/>
    <n v="5000"/>
    <x v="1"/>
  </r>
  <r>
    <x v="802"/>
    <x v="271"/>
    <x v="0"/>
    <x v="2"/>
    <x v="0"/>
    <x v="0"/>
    <n v="2"/>
    <n v="6000"/>
    <n v="3600"/>
    <n v="12000"/>
    <x v="0"/>
  </r>
  <r>
    <x v="803"/>
    <x v="271"/>
    <x v="2"/>
    <x v="2"/>
    <x v="1"/>
    <x v="11"/>
    <n v="2"/>
    <n v="7000"/>
    <n v="4000"/>
    <n v="14000"/>
    <x v="2"/>
  </r>
  <r>
    <x v="804"/>
    <x v="272"/>
    <x v="2"/>
    <x v="0"/>
    <x v="1"/>
    <x v="7"/>
    <n v="1"/>
    <n v="2500"/>
    <n v="500"/>
    <n v="2500"/>
    <x v="1"/>
  </r>
  <r>
    <x v="805"/>
    <x v="272"/>
    <x v="1"/>
    <x v="0"/>
    <x v="2"/>
    <x v="5"/>
    <n v="2"/>
    <n v="4000"/>
    <n v="2000"/>
    <n v="8000"/>
    <x v="1"/>
  </r>
  <r>
    <x v="806"/>
    <x v="272"/>
    <x v="1"/>
    <x v="2"/>
    <x v="3"/>
    <x v="6"/>
    <n v="1"/>
    <n v="5000"/>
    <n v="1500"/>
    <n v="5000"/>
    <x v="1"/>
  </r>
  <r>
    <x v="807"/>
    <x v="273"/>
    <x v="2"/>
    <x v="2"/>
    <x v="1"/>
    <x v="9"/>
    <n v="2"/>
    <n v="8000"/>
    <n v="5000"/>
    <n v="16000"/>
    <x v="0"/>
  </r>
  <r>
    <x v="808"/>
    <x v="273"/>
    <x v="0"/>
    <x v="2"/>
    <x v="2"/>
    <x v="3"/>
    <n v="1"/>
    <n v="3000"/>
    <n v="800"/>
    <n v="3000"/>
    <x v="0"/>
  </r>
  <r>
    <x v="809"/>
    <x v="274"/>
    <x v="0"/>
    <x v="1"/>
    <x v="3"/>
    <x v="6"/>
    <n v="1"/>
    <n v="5000"/>
    <n v="1500"/>
    <n v="5000"/>
    <x v="1"/>
  </r>
  <r>
    <x v="810"/>
    <x v="274"/>
    <x v="1"/>
    <x v="2"/>
    <x v="1"/>
    <x v="7"/>
    <n v="1"/>
    <n v="2500"/>
    <n v="500"/>
    <n v="2500"/>
    <x v="1"/>
  </r>
  <r>
    <x v="811"/>
    <x v="275"/>
    <x v="1"/>
    <x v="2"/>
    <x v="1"/>
    <x v="2"/>
    <n v="1"/>
    <n v="7500"/>
    <n v="2200"/>
    <n v="7500"/>
    <x v="1"/>
  </r>
  <r>
    <x v="812"/>
    <x v="275"/>
    <x v="2"/>
    <x v="0"/>
    <x v="0"/>
    <x v="10"/>
    <n v="1"/>
    <n v="3000"/>
    <n v="700"/>
    <n v="3000"/>
    <x v="0"/>
  </r>
  <r>
    <x v="813"/>
    <x v="276"/>
    <x v="1"/>
    <x v="2"/>
    <x v="1"/>
    <x v="9"/>
    <n v="2"/>
    <n v="8000"/>
    <n v="5000"/>
    <n v="16000"/>
    <x v="1"/>
  </r>
  <r>
    <x v="814"/>
    <x v="276"/>
    <x v="0"/>
    <x v="1"/>
    <x v="1"/>
    <x v="2"/>
    <n v="1"/>
    <n v="7500"/>
    <n v="2200"/>
    <n v="7500"/>
    <x v="0"/>
  </r>
  <r>
    <x v="815"/>
    <x v="276"/>
    <x v="2"/>
    <x v="1"/>
    <x v="1"/>
    <x v="2"/>
    <n v="1"/>
    <n v="7500"/>
    <n v="2200"/>
    <n v="7500"/>
    <x v="2"/>
  </r>
  <r>
    <x v="816"/>
    <x v="277"/>
    <x v="1"/>
    <x v="1"/>
    <x v="1"/>
    <x v="9"/>
    <n v="1"/>
    <n v="8000"/>
    <n v="2500"/>
    <n v="8000"/>
    <x v="1"/>
  </r>
  <r>
    <x v="817"/>
    <x v="277"/>
    <x v="0"/>
    <x v="1"/>
    <x v="1"/>
    <x v="11"/>
    <n v="1"/>
    <n v="7000"/>
    <n v="2000"/>
    <n v="7000"/>
    <x v="0"/>
  </r>
  <r>
    <x v="818"/>
    <x v="277"/>
    <x v="2"/>
    <x v="1"/>
    <x v="2"/>
    <x v="3"/>
    <n v="1"/>
    <n v="3000"/>
    <n v="800"/>
    <n v="3000"/>
    <x v="0"/>
  </r>
  <r>
    <x v="819"/>
    <x v="277"/>
    <x v="2"/>
    <x v="2"/>
    <x v="0"/>
    <x v="1"/>
    <n v="1"/>
    <n v="2500"/>
    <n v="600"/>
    <n v="2500"/>
    <x v="2"/>
  </r>
  <r>
    <x v="820"/>
    <x v="277"/>
    <x v="0"/>
    <x v="2"/>
    <x v="0"/>
    <x v="10"/>
    <n v="1"/>
    <n v="3000"/>
    <n v="700"/>
    <n v="3000"/>
    <x v="2"/>
  </r>
  <r>
    <x v="821"/>
    <x v="278"/>
    <x v="1"/>
    <x v="2"/>
    <x v="1"/>
    <x v="2"/>
    <n v="1"/>
    <n v="7500"/>
    <n v="2200"/>
    <n v="7500"/>
    <x v="2"/>
  </r>
  <r>
    <x v="822"/>
    <x v="278"/>
    <x v="0"/>
    <x v="0"/>
    <x v="2"/>
    <x v="5"/>
    <n v="1"/>
    <n v="4000"/>
    <n v="1000"/>
    <n v="4000"/>
    <x v="0"/>
  </r>
  <r>
    <x v="823"/>
    <x v="279"/>
    <x v="0"/>
    <x v="0"/>
    <x v="1"/>
    <x v="7"/>
    <n v="1"/>
    <n v="2500"/>
    <n v="500"/>
    <n v="2500"/>
    <x v="0"/>
  </r>
  <r>
    <x v="824"/>
    <x v="279"/>
    <x v="1"/>
    <x v="2"/>
    <x v="3"/>
    <x v="4"/>
    <n v="2"/>
    <n v="3000"/>
    <n v="1600"/>
    <n v="6000"/>
    <x v="1"/>
  </r>
  <r>
    <x v="825"/>
    <x v="279"/>
    <x v="0"/>
    <x v="2"/>
    <x v="1"/>
    <x v="7"/>
    <n v="1"/>
    <n v="2500"/>
    <n v="500"/>
    <n v="2500"/>
    <x v="2"/>
  </r>
  <r>
    <x v="826"/>
    <x v="280"/>
    <x v="2"/>
    <x v="1"/>
    <x v="3"/>
    <x v="12"/>
    <n v="1"/>
    <n v="2500"/>
    <n v="700"/>
    <n v="2500"/>
    <x v="1"/>
  </r>
  <r>
    <x v="827"/>
    <x v="280"/>
    <x v="2"/>
    <x v="2"/>
    <x v="1"/>
    <x v="7"/>
    <n v="1"/>
    <n v="2500"/>
    <n v="500"/>
    <n v="2500"/>
    <x v="1"/>
  </r>
  <r>
    <x v="828"/>
    <x v="281"/>
    <x v="1"/>
    <x v="1"/>
    <x v="1"/>
    <x v="11"/>
    <n v="1"/>
    <n v="7000"/>
    <n v="2000"/>
    <n v="7000"/>
    <x v="1"/>
  </r>
  <r>
    <x v="829"/>
    <x v="281"/>
    <x v="0"/>
    <x v="2"/>
    <x v="1"/>
    <x v="9"/>
    <n v="2"/>
    <n v="8000"/>
    <n v="5000"/>
    <n v="16000"/>
    <x v="2"/>
  </r>
  <r>
    <x v="830"/>
    <x v="282"/>
    <x v="2"/>
    <x v="1"/>
    <x v="0"/>
    <x v="0"/>
    <n v="1"/>
    <n v="6000"/>
    <n v="1800"/>
    <n v="6000"/>
    <x v="0"/>
  </r>
  <r>
    <x v="831"/>
    <x v="282"/>
    <x v="2"/>
    <x v="1"/>
    <x v="2"/>
    <x v="5"/>
    <n v="2"/>
    <n v="4000"/>
    <n v="2000"/>
    <n v="8000"/>
    <x v="1"/>
  </r>
  <r>
    <x v="832"/>
    <x v="282"/>
    <x v="2"/>
    <x v="1"/>
    <x v="2"/>
    <x v="8"/>
    <n v="1"/>
    <n v="5000"/>
    <n v="1500"/>
    <n v="5000"/>
    <x v="2"/>
  </r>
  <r>
    <x v="833"/>
    <x v="283"/>
    <x v="0"/>
    <x v="2"/>
    <x v="3"/>
    <x v="4"/>
    <n v="1"/>
    <n v="3000"/>
    <n v="800"/>
    <n v="3000"/>
    <x v="1"/>
  </r>
  <r>
    <x v="834"/>
    <x v="283"/>
    <x v="1"/>
    <x v="2"/>
    <x v="0"/>
    <x v="10"/>
    <n v="1"/>
    <n v="3000"/>
    <n v="700"/>
    <n v="3000"/>
    <x v="0"/>
  </r>
  <r>
    <x v="835"/>
    <x v="283"/>
    <x v="0"/>
    <x v="2"/>
    <x v="3"/>
    <x v="4"/>
    <n v="1"/>
    <n v="3000"/>
    <n v="800"/>
    <n v="3000"/>
    <x v="2"/>
  </r>
  <r>
    <x v="836"/>
    <x v="283"/>
    <x v="2"/>
    <x v="1"/>
    <x v="1"/>
    <x v="7"/>
    <n v="1"/>
    <n v="2500"/>
    <n v="500"/>
    <n v="2500"/>
    <x v="1"/>
  </r>
  <r>
    <x v="837"/>
    <x v="284"/>
    <x v="0"/>
    <x v="1"/>
    <x v="1"/>
    <x v="9"/>
    <n v="1"/>
    <n v="8000"/>
    <n v="2500"/>
    <n v="8000"/>
    <x v="0"/>
  </r>
  <r>
    <x v="838"/>
    <x v="284"/>
    <x v="0"/>
    <x v="2"/>
    <x v="0"/>
    <x v="0"/>
    <n v="1"/>
    <n v="6000"/>
    <n v="1800"/>
    <n v="6000"/>
    <x v="2"/>
  </r>
  <r>
    <x v="839"/>
    <x v="284"/>
    <x v="1"/>
    <x v="1"/>
    <x v="0"/>
    <x v="10"/>
    <n v="2"/>
    <n v="3000"/>
    <n v="1400"/>
    <n v="6000"/>
    <x v="0"/>
  </r>
  <r>
    <x v="840"/>
    <x v="285"/>
    <x v="2"/>
    <x v="0"/>
    <x v="0"/>
    <x v="10"/>
    <n v="2"/>
    <n v="3000"/>
    <n v="1400"/>
    <n v="6000"/>
    <x v="1"/>
  </r>
  <r>
    <x v="841"/>
    <x v="285"/>
    <x v="0"/>
    <x v="2"/>
    <x v="3"/>
    <x v="6"/>
    <n v="1"/>
    <n v="5000"/>
    <n v="1500"/>
    <n v="5000"/>
    <x v="1"/>
  </r>
  <r>
    <x v="842"/>
    <x v="285"/>
    <x v="2"/>
    <x v="2"/>
    <x v="2"/>
    <x v="8"/>
    <n v="1"/>
    <n v="5000"/>
    <n v="1500"/>
    <n v="5000"/>
    <x v="1"/>
  </r>
  <r>
    <x v="843"/>
    <x v="285"/>
    <x v="0"/>
    <x v="0"/>
    <x v="2"/>
    <x v="3"/>
    <n v="1"/>
    <n v="3000"/>
    <n v="800"/>
    <n v="3000"/>
    <x v="1"/>
  </r>
  <r>
    <x v="844"/>
    <x v="285"/>
    <x v="0"/>
    <x v="0"/>
    <x v="1"/>
    <x v="7"/>
    <n v="1"/>
    <n v="2500"/>
    <n v="500"/>
    <n v="2500"/>
    <x v="0"/>
  </r>
  <r>
    <x v="845"/>
    <x v="286"/>
    <x v="2"/>
    <x v="1"/>
    <x v="3"/>
    <x v="4"/>
    <n v="1"/>
    <n v="3000"/>
    <n v="800"/>
    <n v="3000"/>
    <x v="1"/>
  </r>
  <r>
    <x v="846"/>
    <x v="286"/>
    <x v="2"/>
    <x v="1"/>
    <x v="2"/>
    <x v="3"/>
    <n v="1"/>
    <n v="3000"/>
    <n v="800"/>
    <n v="3000"/>
    <x v="0"/>
  </r>
  <r>
    <x v="847"/>
    <x v="286"/>
    <x v="0"/>
    <x v="0"/>
    <x v="1"/>
    <x v="11"/>
    <n v="2"/>
    <n v="7000"/>
    <n v="4000"/>
    <n v="14000"/>
    <x v="2"/>
  </r>
  <r>
    <x v="848"/>
    <x v="287"/>
    <x v="0"/>
    <x v="0"/>
    <x v="3"/>
    <x v="12"/>
    <n v="1"/>
    <n v="2500"/>
    <n v="700"/>
    <n v="2500"/>
    <x v="2"/>
  </r>
  <r>
    <x v="849"/>
    <x v="287"/>
    <x v="0"/>
    <x v="0"/>
    <x v="2"/>
    <x v="8"/>
    <n v="1"/>
    <n v="5000"/>
    <n v="1500"/>
    <n v="5000"/>
    <x v="1"/>
  </r>
  <r>
    <x v="850"/>
    <x v="287"/>
    <x v="0"/>
    <x v="2"/>
    <x v="1"/>
    <x v="7"/>
    <n v="2"/>
    <n v="2500"/>
    <n v="1000"/>
    <n v="5000"/>
    <x v="0"/>
  </r>
  <r>
    <x v="851"/>
    <x v="287"/>
    <x v="1"/>
    <x v="1"/>
    <x v="0"/>
    <x v="10"/>
    <n v="1"/>
    <n v="3000"/>
    <n v="700"/>
    <n v="3000"/>
    <x v="0"/>
  </r>
  <r>
    <x v="852"/>
    <x v="288"/>
    <x v="0"/>
    <x v="0"/>
    <x v="2"/>
    <x v="3"/>
    <n v="2"/>
    <n v="3000"/>
    <n v="1600"/>
    <n v="6000"/>
    <x v="1"/>
  </r>
  <r>
    <x v="853"/>
    <x v="289"/>
    <x v="2"/>
    <x v="2"/>
    <x v="2"/>
    <x v="3"/>
    <n v="1"/>
    <n v="3000"/>
    <n v="800"/>
    <n v="3000"/>
    <x v="1"/>
  </r>
  <r>
    <x v="854"/>
    <x v="289"/>
    <x v="0"/>
    <x v="0"/>
    <x v="0"/>
    <x v="1"/>
    <n v="2"/>
    <n v="2500"/>
    <n v="1200"/>
    <n v="5000"/>
    <x v="0"/>
  </r>
  <r>
    <x v="855"/>
    <x v="289"/>
    <x v="0"/>
    <x v="2"/>
    <x v="0"/>
    <x v="10"/>
    <n v="1"/>
    <n v="3000"/>
    <n v="700"/>
    <n v="3000"/>
    <x v="2"/>
  </r>
  <r>
    <x v="856"/>
    <x v="289"/>
    <x v="1"/>
    <x v="2"/>
    <x v="2"/>
    <x v="5"/>
    <n v="1"/>
    <n v="4000"/>
    <n v="1000"/>
    <n v="4000"/>
    <x v="0"/>
  </r>
  <r>
    <x v="857"/>
    <x v="290"/>
    <x v="2"/>
    <x v="2"/>
    <x v="2"/>
    <x v="5"/>
    <n v="1"/>
    <n v="4000"/>
    <n v="1000"/>
    <n v="4000"/>
    <x v="2"/>
  </r>
  <r>
    <x v="858"/>
    <x v="291"/>
    <x v="0"/>
    <x v="0"/>
    <x v="2"/>
    <x v="5"/>
    <n v="1"/>
    <n v="4000"/>
    <n v="1000"/>
    <n v="4000"/>
    <x v="1"/>
  </r>
  <r>
    <x v="859"/>
    <x v="291"/>
    <x v="2"/>
    <x v="2"/>
    <x v="1"/>
    <x v="2"/>
    <n v="1"/>
    <n v="7500"/>
    <n v="2200"/>
    <n v="7500"/>
    <x v="1"/>
  </r>
  <r>
    <x v="860"/>
    <x v="291"/>
    <x v="1"/>
    <x v="0"/>
    <x v="0"/>
    <x v="0"/>
    <n v="1"/>
    <n v="6000"/>
    <n v="1800"/>
    <n v="6000"/>
    <x v="0"/>
  </r>
  <r>
    <x v="861"/>
    <x v="291"/>
    <x v="0"/>
    <x v="0"/>
    <x v="1"/>
    <x v="11"/>
    <n v="1"/>
    <n v="7000"/>
    <n v="2000"/>
    <n v="7000"/>
    <x v="2"/>
  </r>
  <r>
    <x v="862"/>
    <x v="291"/>
    <x v="2"/>
    <x v="1"/>
    <x v="1"/>
    <x v="2"/>
    <n v="1"/>
    <n v="7500"/>
    <n v="2200"/>
    <n v="7500"/>
    <x v="2"/>
  </r>
  <r>
    <x v="863"/>
    <x v="292"/>
    <x v="2"/>
    <x v="2"/>
    <x v="2"/>
    <x v="8"/>
    <n v="1"/>
    <n v="5000"/>
    <n v="1500"/>
    <n v="5000"/>
    <x v="1"/>
  </r>
  <r>
    <x v="864"/>
    <x v="292"/>
    <x v="2"/>
    <x v="2"/>
    <x v="2"/>
    <x v="5"/>
    <n v="2"/>
    <n v="4000"/>
    <n v="2000"/>
    <n v="8000"/>
    <x v="2"/>
  </r>
  <r>
    <x v="865"/>
    <x v="293"/>
    <x v="1"/>
    <x v="2"/>
    <x v="1"/>
    <x v="7"/>
    <n v="1"/>
    <n v="2500"/>
    <n v="500"/>
    <n v="2500"/>
    <x v="2"/>
  </r>
  <r>
    <x v="866"/>
    <x v="293"/>
    <x v="2"/>
    <x v="0"/>
    <x v="0"/>
    <x v="1"/>
    <n v="2"/>
    <n v="2500"/>
    <n v="1200"/>
    <n v="5000"/>
    <x v="0"/>
  </r>
  <r>
    <x v="867"/>
    <x v="293"/>
    <x v="0"/>
    <x v="1"/>
    <x v="2"/>
    <x v="3"/>
    <n v="1"/>
    <n v="3000"/>
    <n v="800"/>
    <n v="3000"/>
    <x v="0"/>
  </r>
  <r>
    <x v="868"/>
    <x v="294"/>
    <x v="0"/>
    <x v="1"/>
    <x v="3"/>
    <x v="12"/>
    <n v="1"/>
    <n v="2500"/>
    <n v="700"/>
    <n v="2500"/>
    <x v="0"/>
  </r>
  <r>
    <x v="869"/>
    <x v="294"/>
    <x v="2"/>
    <x v="1"/>
    <x v="1"/>
    <x v="11"/>
    <n v="1"/>
    <n v="7000"/>
    <n v="2000"/>
    <n v="7000"/>
    <x v="1"/>
  </r>
  <r>
    <x v="870"/>
    <x v="294"/>
    <x v="1"/>
    <x v="1"/>
    <x v="3"/>
    <x v="12"/>
    <n v="2"/>
    <n v="2500"/>
    <n v="1400"/>
    <n v="5000"/>
    <x v="1"/>
  </r>
  <r>
    <x v="871"/>
    <x v="294"/>
    <x v="1"/>
    <x v="2"/>
    <x v="3"/>
    <x v="12"/>
    <n v="1"/>
    <n v="2500"/>
    <n v="700"/>
    <n v="2500"/>
    <x v="2"/>
  </r>
  <r>
    <x v="872"/>
    <x v="294"/>
    <x v="1"/>
    <x v="0"/>
    <x v="2"/>
    <x v="8"/>
    <n v="2"/>
    <n v="5000"/>
    <n v="3000"/>
    <n v="10000"/>
    <x v="1"/>
  </r>
  <r>
    <x v="873"/>
    <x v="294"/>
    <x v="0"/>
    <x v="0"/>
    <x v="3"/>
    <x v="4"/>
    <n v="1"/>
    <n v="3000"/>
    <n v="800"/>
    <n v="3000"/>
    <x v="1"/>
  </r>
  <r>
    <x v="874"/>
    <x v="294"/>
    <x v="0"/>
    <x v="2"/>
    <x v="2"/>
    <x v="5"/>
    <n v="1"/>
    <n v="4000"/>
    <n v="1000"/>
    <n v="4000"/>
    <x v="1"/>
  </r>
  <r>
    <x v="875"/>
    <x v="294"/>
    <x v="2"/>
    <x v="2"/>
    <x v="0"/>
    <x v="10"/>
    <n v="1"/>
    <n v="3000"/>
    <n v="700"/>
    <n v="3000"/>
    <x v="0"/>
  </r>
  <r>
    <x v="876"/>
    <x v="294"/>
    <x v="1"/>
    <x v="1"/>
    <x v="3"/>
    <x v="4"/>
    <n v="1"/>
    <n v="3000"/>
    <n v="800"/>
    <n v="3000"/>
    <x v="1"/>
  </r>
  <r>
    <x v="877"/>
    <x v="295"/>
    <x v="1"/>
    <x v="0"/>
    <x v="0"/>
    <x v="10"/>
    <n v="2"/>
    <n v="3000"/>
    <n v="1400"/>
    <n v="6000"/>
    <x v="2"/>
  </r>
  <r>
    <x v="878"/>
    <x v="295"/>
    <x v="1"/>
    <x v="2"/>
    <x v="3"/>
    <x v="6"/>
    <n v="1"/>
    <n v="5000"/>
    <n v="1500"/>
    <n v="5000"/>
    <x v="0"/>
  </r>
  <r>
    <x v="879"/>
    <x v="296"/>
    <x v="2"/>
    <x v="2"/>
    <x v="1"/>
    <x v="9"/>
    <n v="1"/>
    <n v="8000"/>
    <n v="2500"/>
    <n v="8000"/>
    <x v="2"/>
  </r>
  <r>
    <x v="880"/>
    <x v="297"/>
    <x v="0"/>
    <x v="0"/>
    <x v="0"/>
    <x v="10"/>
    <n v="1"/>
    <n v="3000"/>
    <n v="700"/>
    <n v="3000"/>
    <x v="1"/>
  </r>
  <r>
    <x v="881"/>
    <x v="298"/>
    <x v="2"/>
    <x v="2"/>
    <x v="0"/>
    <x v="1"/>
    <n v="1"/>
    <n v="2500"/>
    <n v="600"/>
    <n v="2500"/>
    <x v="0"/>
  </r>
  <r>
    <x v="882"/>
    <x v="298"/>
    <x v="0"/>
    <x v="0"/>
    <x v="2"/>
    <x v="3"/>
    <n v="1"/>
    <n v="3000"/>
    <n v="800"/>
    <n v="3000"/>
    <x v="0"/>
  </r>
  <r>
    <x v="883"/>
    <x v="298"/>
    <x v="0"/>
    <x v="1"/>
    <x v="3"/>
    <x v="12"/>
    <n v="1"/>
    <n v="2500"/>
    <n v="700"/>
    <n v="2500"/>
    <x v="0"/>
  </r>
  <r>
    <x v="884"/>
    <x v="298"/>
    <x v="1"/>
    <x v="1"/>
    <x v="3"/>
    <x v="4"/>
    <n v="1"/>
    <n v="3000"/>
    <n v="800"/>
    <n v="3000"/>
    <x v="0"/>
  </r>
  <r>
    <x v="885"/>
    <x v="299"/>
    <x v="0"/>
    <x v="1"/>
    <x v="2"/>
    <x v="8"/>
    <n v="1"/>
    <n v="5000"/>
    <n v="1500"/>
    <n v="5000"/>
    <x v="2"/>
  </r>
  <r>
    <x v="886"/>
    <x v="299"/>
    <x v="0"/>
    <x v="0"/>
    <x v="2"/>
    <x v="3"/>
    <n v="1"/>
    <n v="3000"/>
    <n v="800"/>
    <n v="3000"/>
    <x v="0"/>
  </r>
  <r>
    <x v="887"/>
    <x v="300"/>
    <x v="0"/>
    <x v="0"/>
    <x v="0"/>
    <x v="10"/>
    <n v="1"/>
    <n v="3000"/>
    <n v="700"/>
    <n v="3000"/>
    <x v="1"/>
  </r>
  <r>
    <x v="888"/>
    <x v="300"/>
    <x v="0"/>
    <x v="1"/>
    <x v="0"/>
    <x v="10"/>
    <n v="2"/>
    <n v="3000"/>
    <n v="1400"/>
    <n v="6000"/>
    <x v="0"/>
  </r>
  <r>
    <x v="889"/>
    <x v="301"/>
    <x v="2"/>
    <x v="1"/>
    <x v="3"/>
    <x v="12"/>
    <n v="1"/>
    <n v="2500"/>
    <n v="700"/>
    <n v="2500"/>
    <x v="0"/>
  </r>
  <r>
    <x v="890"/>
    <x v="302"/>
    <x v="1"/>
    <x v="2"/>
    <x v="3"/>
    <x v="12"/>
    <n v="1"/>
    <n v="2500"/>
    <n v="700"/>
    <n v="2500"/>
    <x v="1"/>
  </r>
  <r>
    <x v="891"/>
    <x v="302"/>
    <x v="1"/>
    <x v="1"/>
    <x v="3"/>
    <x v="4"/>
    <n v="2"/>
    <n v="3000"/>
    <n v="1600"/>
    <n v="6000"/>
    <x v="1"/>
  </r>
  <r>
    <x v="892"/>
    <x v="302"/>
    <x v="2"/>
    <x v="2"/>
    <x v="1"/>
    <x v="11"/>
    <n v="2"/>
    <n v="7000"/>
    <n v="4000"/>
    <n v="14000"/>
    <x v="1"/>
  </r>
  <r>
    <x v="893"/>
    <x v="302"/>
    <x v="1"/>
    <x v="0"/>
    <x v="1"/>
    <x v="9"/>
    <n v="2"/>
    <n v="8000"/>
    <n v="5000"/>
    <n v="16000"/>
    <x v="2"/>
  </r>
  <r>
    <x v="894"/>
    <x v="302"/>
    <x v="1"/>
    <x v="1"/>
    <x v="2"/>
    <x v="3"/>
    <n v="1"/>
    <n v="3000"/>
    <n v="800"/>
    <n v="3000"/>
    <x v="2"/>
  </r>
  <r>
    <x v="895"/>
    <x v="303"/>
    <x v="0"/>
    <x v="0"/>
    <x v="2"/>
    <x v="8"/>
    <n v="1"/>
    <n v="5000"/>
    <n v="1500"/>
    <n v="5000"/>
    <x v="0"/>
  </r>
  <r>
    <x v="896"/>
    <x v="303"/>
    <x v="0"/>
    <x v="2"/>
    <x v="2"/>
    <x v="3"/>
    <n v="1"/>
    <n v="3000"/>
    <n v="800"/>
    <n v="3000"/>
    <x v="2"/>
  </r>
  <r>
    <x v="897"/>
    <x v="304"/>
    <x v="0"/>
    <x v="0"/>
    <x v="3"/>
    <x v="4"/>
    <n v="1"/>
    <n v="3000"/>
    <n v="800"/>
    <n v="3000"/>
    <x v="0"/>
  </r>
  <r>
    <x v="898"/>
    <x v="305"/>
    <x v="0"/>
    <x v="2"/>
    <x v="2"/>
    <x v="8"/>
    <n v="2"/>
    <n v="5000"/>
    <n v="3000"/>
    <n v="10000"/>
    <x v="1"/>
  </r>
  <r>
    <x v="899"/>
    <x v="305"/>
    <x v="0"/>
    <x v="1"/>
    <x v="3"/>
    <x v="6"/>
    <n v="1"/>
    <n v="5000"/>
    <n v="1500"/>
    <n v="5000"/>
    <x v="2"/>
  </r>
  <r>
    <x v="900"/>
    <x v="305"/>
    <x v="0"/>
    <x v="1"/>
    <x v="1"/>
    <x v="11"/>
    <n v="2"/>
    <n v="7000"/>
    <n v="4000"/>
    <n v="14000"/>
    <x v="0"/>
  </r>
  <r>
    <x v="901"/>
    <x v="305"/>
    <x v="2"/>
    <x v="1"/>
    <x v="1"/>
    <x v="2"/>
    <n v="1"/>
    <n v="7500"/>
    <n v="2200"/>
    <n v="7500"/>
    <x v="1"/>
  </r>
  <r>
    <x v="902"/>
    <x v="306"/>
    <x v="1"/>
    <x v="2"/>
    <x v="2"/>
    <x v="8"/>
    <n v="1"/>
    <n v="5000"/>
    <n v="1500"/>
    <n v="5000"/>
    <x v="2"/>
  </r>
  <r>
    <x v="903"/>
    <x v="306"/>
    <x v="1"/>
    <x v="2"/>
    <x v="2"/>
    <x v="3"/>
    <n v="1"/>
    <n v="3000"/>
    <n v="800"/>
    <n v="3000"/>
    <x v="0"/>
  </r>
  <r>
    <x v="904"/>
    <x v="306"/>
    <x v="1"/>
    <x v="0"/>
    <x v="0"/>
    <x v="1"/>
    <n v="1"/>
    <n v="2500"/>
    <n v="600"/>
    <n v="2500"/>
    <x v="1"/>
  </r>
  <r>
    <x v="905"/>
    <x v="306"/>
    <x v="1"/>
    <x v="2"/>
    <x v="3"/>
    <x v="4"/>
    <n v="2"/>
    <n v="3000"/>
    <n v="1600"/>
    <n v="6000"/>
    <x v="1"/>
  </r>
  <r>
    <x v="906"/>
    <x v="306"/>
    <x v="2"/>
    <x v="0"/>
    <x v="0"/>
    <x v="0"/>
    <n v="1"/>
    <n v="6000"/>
    <n v="1800"/>
    <n v="6000"/>
    <x v="1"/>
  </r>
  <r>
    <x v="907"/>
    <x v="306"/>
    <x v="2"/>
    <x v="2"/>
    <x v="2"/>
    <x v="5"/>
    <n v="1"/>
    <n v="4000"/>
    <n v="1000"/>
    <n v="4000"/>
    <x v="2"/>
  </r>
  <r>
    <x v="908"/>
    <x v="306"/>
    <x v="1"/>
    <x v="0"/>
    <x v="2"/>
    <x v="8"/>
    <n v="1"/>
    <n v="5000"/>
    <n v="1500"/>
    <n v="5000"/>
    <x v="0"/>
  </r>
  <r>
    <x v="909"/>
    <x v="307"/>
    <x v="1"/>
    <x v="0"/>
    <x v="0"/>
    <x v="0"/>
    <n v="1"/>
    <n v="6000"/>
    <n v="1800"/>
    <n v="6000"/>
    <x v="2"/>
  </r>
  <r>
    <x v="910"/>
    <x v="307"/>
    <x v="1"/>
    <x v="2"/>
    <x v="1"/>
    <x v="2"/>
    <n v="2"/>
    <n v="7500"/>
    <n v="4400"/>
    <n v="15000"/>
    <x v="2"/>
  </r>
  <r>
    <x v="911"/>
    <x v="307"/>
    <x v="2"/>
    <x v="1"/>
    <x v="2"/>
    <x v="8"/>
    <n v="2"/>
    <n v="5000"/>
    <n v="3000"/>
    <n v="10000"/>
    <x v="2"/>
  </r>
  <r>
    <x v="912"/>
    <x v="307"/>
    <x v="1"/>
    <x v="0"/>
    <x v="1"/>
    <x v="11"/>
    <n v="2"/>
    <n v="7000"/>
    <n v="4000"/>
    <n v="14000"/>
    <x v="1"/>
  </r>
  <r>
    <x v="913"/>
    <x v="307"/>
    <x v="2"/>
    <x v="2"/>
    <x v="0"/>
    <x v="0"/>
    <n v="1"/>
    <n v="6000"/>
    <n v="1800"/>
    <n v="6000"/>
    <x v="2"/>
  </r>
  <r>
    <x v="914"/>
    <x v="307"/>
    <x v="0"/>
    <x v="2"/>
    <x v="1"/>
    <x v="2"/>
    <n v="2"/>
    <n v="7500"/>
    <n v="4400"/>
    <n v="15000"/>
    <x v="0"/>
  </r>
  <r>
    <x v="915"/>
    <x v="308"/>
    <x v="1"/>
    <x v="2"/>
    <x v="1"/>
    <x v="7"/>
    <n v="1"/>
    <n v="2500"/>
    <n v="500"/>
    <n v="2500"/>
    <x v="1"/>
  </r>
  <r>
    <x v="916"/>
    <x v="308"/>
    <x v="2"/>
    <x v="0"/>
    <x v="1"/>
    <x v="11"/>
    <n v="1"/>
    <n v="7000"/>
    <n v="2000"/>
    <n v="7000"/>
    <x v="0"/>
  </r>
  <r>
    <x v="917"/>
    <x v="308"/>
    <x v="0"/>
    <x v="2"/>
    <x v="0"/>
    <x v="1"/>
    <n v="1"/>
    <n v="2500"/>
    <n v="600"/>
    <n v="2500"/>
    <x v="1"/>
  </r>
  <r>
    <x v="918"/>
    <x v="309"/>
    <x v="1"/>
    <x v="2"/>
    <x v="1"/>
    <x v="2"/>
    <n v="1"/>
    <n v="7500"/>
    <n v="2200"/>
    <n v="7500"/>
    <x v="0"/>
  </r>
  <r>
    <x v="919"/>
    <x v="309"/>
    <x v="1"/>
    <x v="0"/>
    <x v="2"/>
    <x v="3"/>
    <n v="1"/>
    <n v="3000"/>
    <n v="800"/>
    <n v="3000"/>
    <x v="2"/>
  </r>
  <r>
    <x v="920"/>
    <x v="309"/>
    <x v="0"/>
    <x v="0"/>
    <x v="3"/>
    <x v="12"/>
    <n v="1"/>
    <n v="2500"/>
    <n v="700"/>
    <n v="2500"/>
    <x v="0"/>
  </r>
  <r>
    <x v="921"/>
    <x v="310"/>
    <x v="2"/>
    <x v="0"/>
    <x v="3"/>
    <x v="4"/>
    <n v="2"/>
    <n v="3000"/>
    <n v="1600"/>
    <n v="6000"/>
    <x v="1"/>
  </r>
  <r>
    <x v="922"/>
    <x v="310"/>
    <x v="2"/>
    <x v="1"/>
    <x v="1"/>
    <x v="11"/>
    <n v="1"/>
    <n v="7000"/>
    <n v="2000"/>
    <n v="7000"/>
    <x v="2"/>
  </r>
  <r>
    <x v="923"/>
    <x v="311"/>
    <x v="2"/>
    <x v="2"/>
    <x v="1"/>
    <x v="2"/>
    <n v="1"/>
    <n v="7500"/>
    <n v="2200"/>
    <n v="7500"/>
    <x v="2"/>
  </r>
  <r>
    <x v="924"/>
    <x v="311"/>
    <x v="0"/>
    <x v="0"/>
    <x v="2"/>
    <x v="5"/>
    <n v="1"/>
    <n v="4000"/>
    <n v="1000"/>
    <n v="4000"/>
    <x v="2"/>
  </r>
  <r>
    <x v="925"/>
    <x v="311"/>
    <x v="0"/>
    <x v="2"/>
    <x v="2"/>
    <x v="3"/>
    <n v="1"/>
    <n v="3000"/>
    <n v="800"/>
    <n v="3000"/>
    <x v="2"/>
  </r>
  <r>
    <x v="926"/>
    <x v="312"/>
    <x v="0"/>
    <x v="1"/>
    <x v="3"/>
    <x v="4"/>
    <n v="1"/>
    <n v="3000"/>
    <n v="800"/>
    <n v="3000"/>
    <x v="0"/>
  </r>
  <r>
    <x v="927"/>
    <x v="312"/>
    <x v="1"/>
    <x v="1"/>
    <x v="2"/>
    <x v="3"/>
    <n v="1"/>
    <n v="3000"/>
    <n v="800"/>
    <n v="3000"/>
    <x v="1"/>
  </r>
  <r>
    <x v="928"/>
    <x v="312"/>
    <x v="2"/>
    <x v="1"/>
    <x v="0"/>
    <x v="10"/>
    <n v="1"/>
    <n v="3000"/>
    <n v="700"/>
    <n v="3000"/>
    <x v="0"/>
  </r>
  <r>
    <x v="929"/>
    <x v="313"/>
    <x v="1"/>
    <x v="0"/>
    <x v="0"/>
    <x v="1"/>
    <n v="2"/>
    <n v="2500"/>
    <n v="1200"/>
    <n v="5000"/>
    <x v="2"/>
  </r>
  <r>
    <x v="930"/>
    <x v="313"/>
    <x v="1"/>
    <x v="2"/>
    <x v="0"/>
    <x v="0"/>
    <n v="1"/>
    <n v="6000"/>
    <n v="1800"/>
    <n v="6000"/>
    <x v="1"/>
  </r>
  <r>
    <x v="931"/>
    <x v="313"/>
    <x v="2"/>
    <x v="0"/>
    <x v="3"/>
    <x v="12"/>
    <n v="1"/>
    <n v="2500"/>
    <n v="700"/>
    <n v="2500"/>
    <x v="1"/>
  </r>
  <r>
    <x v="932"/>
    <x v="313"/>
    <x v="2"/>
    <x v="1"/>
    <x v="0"/>
    <x v="1"/>
    <n v="2"/>
    <n v="2500"/>
    <n v="1200"/>
    <n v="5000"/>
    <x v="0"/>
  </r>
  <r>
    <x v="933"/>
    <x v="314"/>
    <x v="2"/>
    <x v="1"/>
    <x v="1"/>
    <x v="7"/>
    <n v="2"/>
    <n v="2500"/>
    <n v="1000"/>
    <n v="5000"/>
    <x v="1"/>
  </r>
  <r>
    <x v="934"/>
    <x v="314"/>
    <x v="2"/>
    <x v="2"/>
    <x v="1"/>
    <x v="2"/>
    <n v="2"/>
    <n v="7500"/>
    <n v="4400"/>
    <n v="15000"/>
    <x v="0"/>
  </r>
  <r>
    <x v="935"/>
    <x v="315"/>
    <x v="1"/>
    <x v="0"/>
    <x v="0"/>
    <x v="10"/>
    <n v="1"/>
    <n v="3000"/>
    <n v="700"/>
    <n v="3000"/>
    <x v="1"/>
  </r>
  <r>
    <x v="936"/>
    <x v="315"/>
    <x v="2"/>
    <x v="0"/>
    <x v="1"/>
    <x v="7"/>
    <n v="1"/>
    <n v="2500"/>
    <n v="500"/>
    <n v="2500"/>
    <x v="0"/>
  </r>
  <r>
    <x v="937"/>
    <x v="316"/>
    <x v="2"/>
    <x v="0"/>
    <x v="1"/>
    <x v="7"/>
    <n v="1"/>
    <n v="2500"/>
    <n v="500"/>
    <n v="2500"/>
    <x v="0"/>
  </r>
  <r>
    <x v="938"/>
    <x v="316"/>
    <x v="2"/>
    <x v="2"/>
    <x v="0"/>
    <x v="1"/>
    <n v="1"/>
    <n v="2500"/>
    <n v="600"/>
    <n v="2500"/>
    <x v="0"/>
  </r>
  <r>
    <x v="939"/>
    <x v="316"/>
    <x v="1"/>
    <x v="0"/>
    <x v="0"/>
    <x v="1"/>
    <n v="2"/>
    <n v="2500"/>
    <n v="1200"/>
    <n v="5000"/>
    <x v="2"/>
  </r>
  <r>
    <x v="940"/>
    <x v="316"/>
    <x v="2"/>
    <x v="2"/>
    <x v="3"/>
    <x v="6"/>
    <n v="1"/>
    <n v="5000"/>
    <n v="1500"/>
    <n v="5000"/>
    <x v="1"/>
  </r>
  <r>
    <x v="941"/>
    <x v="317"/>
    <x v="1"/>
    <x v="2"/>
    <x v="1"/>
    <x v="2"/>
    <n v="2"/>
    <n v="7500"/>
    <n v="4400"/>
    <n v="15000"/>
    <x v="2"/>
  </r>
  <r>
    <x v="942"/>
    <x v="317"/>
    <x v="2"/>
    <x v="2"/>
    <x v="0"/>
    <x v="10"/>
    <n v="2"/>
    <n v="3000"/>
    <n v="1400"/>
    <n v="6000"/>
    <x v="0"/>
  </r>
  <r>
    <x v="943"/>
    <x v="317"/>
    <x v="2"/>
    <x v="1"/>
    <x v="0"/>
    <x v="1"/>
    <n v="1"/>
    <n v="2500"/>
    <n v="600"/>
    <n v="2500"/>
    <x v="1"/>
  </r>
  <r>
    <x v="944"/>
    <x v="317"/>
    <x v="2"/>
    <x v="1"/>
    <x v="3"/>
    <x v="12"/>
    <n v="1"/>
    <n v="2500"/>
    <n v="700"/>
    <n v="2500"/>
    <x v="2"/>
  </r>
  <r>
    <x v="945"/>
    <x v="317"/>
    <x v="1"/>
    <x v="1"/>
    <x v="1"/>
    <x v="7"/>
    <n v="1"/>
    <n v="2500"/>
    <n v="500"/>
    <n v="2500"/>
    <x v="0"/>
  </r>
  <r>
    <x v="946"/>
    <x v="318"/>
    <x v="0"/>
    <x v="2"/>
    <x v="2"/>
    <x v="5"/>
    <n v="2"/>
    <n v="4000"/>
    <n v="2000"/>
    <n v="8000"/>
    <x v="0"/>
  </r>
  <r>
    <x v="947"/>
    <x v="318"/>
    <x v="2"/>
    <x v="0"/>
    <x v="0"/>
    <x v="0"/>
    <n v="1"/>
    <n v="6000"/>
    <n v="1800"/>
    <n v="6000"/>
    <x v="2"/>
  </r>
  <r>
    <x v="948"/>
    <x v="318"/>
    <x v="2"/>
    <x v="1"/>
    <x v="1"/>
    <x v="7"/>
    <n v="1"/>
    <n v="2500"/>
    <n v="500"/>
    <n v="2500"/>
    <x v="0"/>
  </r>
  <r>
    <x v="949"/>
    <x v="319"/>
    <x v="1"/>
    <x v="2"/>
    <x v="0"/>
    <x v="10"/>
    <n v="1"/>
    <n v="3000"/>
    <n v="700"/>
    <n v="3000"/>
    <x v="1"/>
  </r>
  <r>
    <x v="950"/>
    <x v="319"/>
    <x v="1"/>
    <x v="0"/>
    <x v="2"/>
    <x v="3"/>
    <n v="2"/>
    <n v="3000"/>
    <n v="1600"/>
    <n v="6000"/>
    <x v="1"/>
  </r>
  <r>
    <x v="951"/>
    <x v="319"/>
    <x v="0"/>
    <x v="0"/>
    <x v="0"/>
    <x v="0"/>
    <n v="1"/>
    <n v="6000"/>
    <n v="1800"/>
    <n v="6000"/>
    <x v="1"/>
  </r>
  <r>
    <x v="952"/>
    <x v="319"/>
    <x v="2"/>
    <x v="2"/>
    <x v="3"/>
    <x v="6"/>
    <n v="2"/>
    <n v="5000"/>
    <n v="3000"/>
    <n v="10000"/>
    <x v="0"/>
  </r>
  <r>
    <x v="953"/>
    <x v="319"/>
    <x v="2"/>
    <x v="0"/>
    <x v="1"/>
    <x v="11"/>
    <n v="2"/>
    <n v="7000"/>
    <n v="4000"/>
    <n v="14000"/>
    <x v="1"/>
  </r>
  <r>
    <x v="954"/>
    <x v="320"/>
    <x v="1"/>
    <x v="0"/>
    <x v="2"/>
    <x v="5"/>
    <n v="1"/>
    <n v="4000"/>
    <n v="1000"/>
    <n v="4000"/>
    <x v="0"/>
  </r>
  <r>
    <x v="955"/>
    <x v="321"/>
    <x v="1"/>
    <x v="0"/>
    <x v="1"/>
    <x v="7"/>
    <n v="1"/>
    <n v="2500"/>
    <n v="500"/>
    <n v="2500"/>
    <x v="0"/>
  </r>
  <r>
    <x v="956"/>
    <x v="321"/>
    <x v="2"/>
    <x v="2"/>
    <x v="3"/>
    <x v="4"/>
    <n v="1"/>
    <n v="3000"/>
    <n v="800"/>
    <n v="3000"/>
    <x v="0"/>
  </r>
  <r>
    <x v="957"/>
    <x v="321"/>
    <x v="0"/>
    <x v="1"/>
    <x v="1"/>
    <x v="7"/>
    <n v="1"/>
    <n v="2500"/>
    <n v="500"/>
    <n v="2500"/>
    <x v="2"/>
  </r>
  <r>
    <x v="958"/>
    <x v="321"/>
    <x v="2"/>
    <x v="2"/>
    <x v="2"/>
    <x v="3"/>
    <n v="1"/>
    <n v="3000"/>
    <n v="800"/>
    <n v="3000"/>
    <x v="0"/>
  </r>
  <r>
    <x v="959"/>
    <x v="321"/>
    <x v="0"/>
    <x v="1"/>
    <x v="3"/>
    <x v="4"/>
    <n v="1"/>
    <n v="3000"/>
    <n v="800"/>
    <n v="3000"/>
    <x v="0"/>
  </r>
  <r>
    <x v="960"/>
    <x v="321"/>
    <x v="2"/>
    <x v="0"/>
    <x v="3"/>
    <x v="12"/>
    <n v="1"/>
    <n v="2500"/>
    <n v="700"/>
    <n v="2500"/>
    <x v="2"/>
  </r>
  <r>
    <x v="961"/>
    <x v="322"/>
    <x v="2"/>
    <x v="1"/>
    <x v="1"/>
    <x v="2"/>
    <n v="1"/>
    <n v="7500"/>
    <n v="2200"/>
    <n v="7500"/>
    <x v="1"/>
  </r>
  <r>
    <x v="962"/>
    <x v="322"/>
    <x v="0"/>
    <x v="2"/>
    <x v="1"/>
    <x v="7"/>
    <n v="2"/>
    <n v="2500"/>
    <n v="1000"/>
    <n v="5000"/>
    <x v="0"/>
  </r>
  <r>
    <x v="963"/>
    <x v="322"/>
    <x v="2"/>
    <x v="0"/>
    <x v="1"/>
    <x v="11"/>
    <n v="1"/>
    <n v="7000"/>
    <n v="2000"/>
    <n v="7000"/>
    <x v="0"/>
  </r>
  <r>
    <x v="964"/>
    <x v="322"/>
    <x v="0"/>
    <x v="1"/>
    <x v="3"/>
    <x v="6"/>
    <n v="1"/>
    <n v="5000"/>
    <n v="1500"/>
    <n v="5000"/>
    <x v="1"/>
  </r>
  <r>
    <x v="965"/>
    <x v="322"/>
    <x v="0"/>
    <x v="1"/>
    <x v="3"/>
    <x v="4"/>
    <n v="2"/>
    <n v="3000"/>
    <n v="1600"/>
    <n v="6000"/>
    <x v="0"/>
  </r>
  <r>
    <x v="966"/>
    <x v="322"/>
    <x v="0"/>
    <x v="2"/>
    <x v="0"/>
    <x v="10"/>
    <n v="2"/>
    <n v="3000"/>
    <n v="1400"/>
    <n v="6000"/>
    <x v="1"/>
  </r>
  <r>
    <x v="967"/>
    <x v="323"/>
    <x v="2"/>
    <x v="1"/>
    <x v="0"/>
    <x v="10"/>
    <n v="1"/>
    <n v="3000"/>
    <n v="700"/>
    <n v="3000"/>
    <x v="2"/>
  </r>
  <r>
    <x v="968"/>
    <x v="323"/>
    <x v="1"/>
    <x v="1"/>
    <x v="1"/>
    <x v="7"/>
    <n v="1"/>
    <n v="2500"/>
    <n v="500"/>
    <n v="2500"/>
    <x v="0"/>
  </r>
  <r>
    <x v="969"/>
    <x v="324"/>
    <x v="2"/>
    <x v="1"/>
    <x v="0"/>
    <x v="10"/>
    <n v="2"/>
    <n v="3000"/>
    <n v="1400"/>
    <n v="6000"/>
    <x v="0"/>
  </r>
  <r>
    <x v="970"/>
    <x v="324"/>
    <x v="2"/>
    <x v="1"/>
    <x v="0"/>
    <x v="10"/>
    <n v="2"/>
    <n v="3000"/>
    <n v="1400"/>
    <n v="6000"/>
    <x v="0"/>
  </r>
  <r>
    <x v="971"/>
    <x v="324"/>
    <x v="0"/>
    <x v="1"/>
    <x v="3"/>
    <x v="4"/>
    <n v="2"/>
    <n v="3000"/>
    <n v="1600"/>
    <n v="6000"/>
    <x v="2"/>
  </r>
  <r>
    <x v="972"/>
    <x v="325"/>
    <x v="2"/>
    <x v="0"/>
    <x v="2"/>
    <x v="3"/>
    <n v="2"/>
    <n v="3000"/>
    <n v="1600"/>
    <n v="6000"/>
    <x v="1"/>
  </r>
  <r>
    <x v="973"/>
    <x v="325"/>
    <x v="1"/>
    <x v="2"/>
    <x v="3"/>
    <x v="12"/>
    <n v="2"/>
    <n v="2500"/>
    <n v="1400"/>
    <n v="5000"/>
    <x v="2"/>
  </r>
  <r>
    <x v="974"/>
    <x v="326"/>
    <x v="2"/>
    <x v="0"/>
    <x v="3"/>
    <x v="12"/>
    <n v="2"/>
    <n v="2500"/>
    <n v="1400"/>
    <n v="5000"/>
    <x v="1"/>
  </r>
  <r>
    <x v="975"/>
    <x v="326"/>
    <x v="0"/>
    <x v="0"/>
    <x v="1"/>
    <x v="7"/>
    <n v="1"/>
    <n v="2500"/>
    <n v="500"/>
    <n v="2500"/>
    <x v="2"/>
  </r>
  <r>
    <x v="976"/>
    <x v="326"/>
    <x v="1"/>
    <x v="1"/>
    <x v="2"/>
    <x v="3"/>
    <n v="1"/>
    <n v="3000"/>
    <n v="800"/>
    <n v="3000"/>
    <x v="2"/>
  </r>
  <r>
    <x v="977"/>
    <x v="327"/>
    <x v="2"/>
    <x v="2"/>
    <x v="1"/>
    <x v="9"/>
    <n v="1"/>
    <n v="8000"/>
    <n v="2500"/>
    <n v="8000"/>
    <x v="2"/>
  </r>
  <r>
    <x v="978"/>
    <x v="327"/>
    <x v="1"/>
    <x v="1"/>
    <x v="2"/>
    <x v="3"/>
    <n v="1"/>
    <n v="3000"/>
    <n v="800"/>
    <n v="3000"/>
    <x v="0"/>
  </r>
  <r>
    <x v="979"/>
    <x v="328"/>
    <x v="0"/>
    <x v="1"/>
    <x v="1"/>
    <x v="2"/>
    <n v="1"/>
    <n v="7500"/>
    <n v="2200"/>
    <n v="7500"/>
    <x v="1"/>
  </r>
  <r>
    <x v="980"/>
    <x v="329"/>
    <x v="2"/>
    <x v="0"/>
    <x v="1"/>
    <x v="9"/>
    <n v="1"/>
    <n v="8000"/>
    <n v="2500"/>
    <n v="8000"/>
    <x v="2"/>
  </r>
  <r>
    <x v="981"/>
    <x v="330"/>
    <x v="1"/>
    <x v="1"/>
    <x v="2"/>
    <x v="5"/>
    <n v="1"/>
    <n v="4000"/>
    <n v="1000"/>
    <n v="4000"/>
    <x v="1"/>
  </r>
  <r>
    <x v="982"/>
    <x v="331"/>
    <x v="0"/>
    <x v="2"/>
    <x v="2"/>
    <x v="3"/>
    <n v="1"/>
    <n v="3000"/>
    <n v="800"/>
    <n v="3000"/>
    <x v="1"/>
  </r>
  <r>
    <x v="983"/>
    <x v="332"/>
    <x v="0"/>
    <x v="0"/>
    <x v="3"/>
    <x v="12"/>
    <n v="2"/>
    <n v="2500"/>
    <n v="1400"/>
    <n v="5000"/>
    <x v="2"/>
  </r>
  <r>
    <x v="984"/>
    <x v="333"/>
    <x v="0"/>
    <x v="0"/>
    <x v="3"/>
    <x v="6"/>
    <n v="1"/>
    <n v="5000"/>
    <n v="1500"/>
    <n v="5000"/>
    <x v="1"/>
  </r>
  <r>
    <x v="985"/>
    <x v="334"/>
    <x v="2"/>
    <x v="1"/>
    <x v="0"/>
    <x v="0"/>
    <n v="1"/>
    <n v="6000"/>
    <n v="1800"/>
    <n v="6000"/>
    <x v="1"/>
  </r>
  <r>
    <x v="986"/>
    <x v="334"/>
    <x v="1"/>
    <x v="2"/>
    <x v="1"/>
    <x v="11"/>
    <n v="1"/>
    <n v="7000"/>
    <n v="2000"/>
    <n v="7000"/>
    <x v="2"/>
  </r>
  <r>
    <x v="987"/>
    <x v="335"/>
    <x v="2"/>
    <x v="2"/>
    <x v="0"/>
    <x v="1"/>
    <n v="2"/>
    <n v="2500"/>
    <n v="1200"/>
    <n v="5000"/>
    <x v="2"/>
  </r>
  <r>
    <x v="988"/>
    <x v="335"/>
    <x v="1"/>
    <x v="2"/>
    <x v="1"/>
    <x v="11"/>
    <n v="1"/>
    <n v="7000"/>
    <n v="2000"/>
    <n v="7000"/>
    <x v="2"/>
  </r>
  <r>
    <x v="989"/>
    <x v="335"/>
    <x v="1"/>
    <x v="1"/>
    <x v="1"/>
    <x v="9"/>
    <n v="1"/>
    <n v="8000"/>
    <n v="2500"/>
    <n v="8000"/>
    <x v="1"/>
  </r>
  <r>
    <x v="990"/>
    <x v="336"/>
    <x v="1"/>
    <x v="0"/>
    <x v="3"/>
    <x v="4"/>
    <n v="1"/>
    <n v="3000"/>
    <n v="800"/>
    <n v="3000"/>
    <x v="2"/>
  </r>
  <r>
    <x v="991"/>
    <x v="336"/>
    <x v="1"/>
    <x v="2"/>
    <x v="1"/>
    <x v="11"/>
    <n v="1"/>
    <n v="7000"/>
    <n v="2000"/>
    <n v="7000"/>
    <x v="1"/>
  </r>
  <r>
    <x v="992"/>
    <x v="337"/>
    <x v="1"/>
    <x v="2"/>
    <x v="1"/>
    <x v="2"/>
    <n v="1"/>
    <n v="7500"/>
    <n v="2200"/>
    <n v="7500"/>
    <x v="2"/>
  </r>
  <r>
    <x v="993"/>
    <x v="337"/>
    <x v="0"/>
    <x v="0"/>
    <x v="3"/>
    <x v="12"/>
    <n v="2"/>
    <n v="2500"/>
    <n v="1400"/>
    <n v="5000"/>
    <x v="0"/>
  </r>
  <r>
    <x v="994"/>
    <x v="337"/>
    <x v="2"/>
    <x v="1"/>
    <x v="3"/>
    <x v="4"/>
    <n v="2"/>
    <n v="3000"/>
    <n v="1600"/>
    <n v="6000"/>
    <x v="0"/>
  </r>
  <r>
    <x v="995"/>
    <x v="338"/>
    <x v="1"/>
    <x v="2"/>
    <x v="3"/>
    <x v="12"/>
    <n v="1"/>
    <n v="2500"/>
    <n v="700"/>
    <n v="2500"/>
    <x v="0"/>
  </r>
  <r>
    <x v="996"/>
    <x v="339"/>
    <x v="0"/>
    <x v="1"/>
    <x v="3"/>
    <x v="12"/>
    <n v="1"/>
    <n v="2500"/>
    <n v="700"/>
    <n v="2500"/>
    <x v="2"/>
  </r>
  <r>
    <x v="997"/>
    <x v="340"/>
    <x v="1"/>
    <x v="2"/>
    <x v="3"/>
    <x v="6"/>
    <n v="2"/>
    <n v="5000"/>
    <n v="3000"/>
    <n v="10000"/>
    <x v="2"/>
  </r>
  <r>
    <x v="998"/>
    <x v="340"/>
    <x v="2"/>
    <x v="1"/>
    <x v="3"/>
    <x v="12"/>
    <n v="1"/>
    <n v="2500"/>
    <n v="700"/>
    <n v="2500"/>
    <x v="1"/>
  </r>
  <r>
    <x v="999"/>
    <x v="340"/>
    <x v="0"/>
    <x v="2"/>
    <x v="3"/>
    <x v="6"/>
    <n v="2"/>
    <n v="5000"/>
    <n v="3000"/>
    <n v="1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B1004" firstHeaderRow="1" firstDataRow="1" firstDataCol="1"/>
  <pivotFields count="13">
    <pivotField axis="axisRow" showAll="0">
      <items count="1001">
        <item x="981"/>
        <item x="865"/>
        <item x="974"/>
        <item x="209"/>
        <item x="700"/>
        <item x="784"/>
        <item x="705"/>
        <item x="489"/>
        <item x="351"/>
        <item x="124"/>
        <item x="955"/>
        <item x="868"/>
        <item x="775"/>
        <item x="12"/>
        <item x="245"/>
        <item x="619"/>
        <item x="937"/>
        <item x="923"/>
        <item x="83"/>
        <item x="629"/>
        <item x="174"/>
        <item x="816"/>
        <item x="853"/>
        <item x="157"/>
        <item x="258"/>
        <item x="42"/>
        <item x="577"/>
        <item x="290"/>
        <item x="112"/>
        <item x="778"/>
        <item x="307"/>
        <item x="666"/>
        <item x="317"/>
        <item x="229"/>
        <item x="708"/>
        <item x="438"/>
        <item x="840"/>
        <item x="169"/>
        <item x="915"/>
        <item x="975"/>
        <item x="60"/>
        <item x="658"/>
        <item x="79"/>
        <item x="941"/>
        <item x="432"/>
        <item x="734"/>
        <item x="604"/>
        <item x="949"/>
        <item x="768"/>
        <item x="933"/>
        <item x="363"/>
        <item x="793"/>
        <item x="551"/>
        <item x="935"/>
        <item x="52"/>
        <item x="186"/>
        <item x="82"/>
        <item x="718"/>
        <item x="442"/>
        <item x="545"/>
        <item x="909"/>
        <item x="500"/>
        <item x="387"/>
        <item x="63"/>
        <item x="630"/>
        <item x="613"/>
        <item x="719"/>
        <item x="650"/>
        <item x="961"/>
        <item x="779"/>
        <item x="210"/>
        <item x="234"/>
        <item x="399"/>
        <item x="490"/>
        <item x="493"/>
        <item x="669"/>
        <item x="525"/>
        <item x="628"/>
        <item x="339"/>
        <item x="682"/>
        <item x="532"/>
        <item x="45"/>
        <item x="755"/>
        <item x="506"/>
        <item x="455"/>
        <item x="997"/>
        <item x="478"/>
        <item x="68"/>
        <item x="64"/>
        <item x="221"/>
        <item x="48"/>
        <item x="431"/>
        <item x="400"/>
        <item x="382"/>
        <item x="765"/>
        <item x="881"/>
        <item x="804"/>
        <item x="359"/>
        <item x="303"/>
        <item x="858"/>
        <item x="950"/>
        <item x="347"/>
        <item x="383"/>
        <item x="785"/>
        <item x="115"/>
        <item x="610"/>
        <item x="614"/>
        <item x="800"/>
        <item x="926"/>
        <item x="413"/>
        <item x="192"/>
        <item x="449"/>
        <item x="314"/>
        <item x="450"/>
        <item x="771"/>
        <item x="446"/>
        <item x="108"/>
        <item x="636"/>
        <item x="523"/>
        <item x="340"/>
        <item x="689"/>
        <item x="653"/>
        <item x="833"/>
        <item x="344"/>
        <item x="776"/>
        <item x="193"/>
        <item x="902"/>
        <item x="23"/>
        <item x="205"/>
        <item x="918"/>
        <item x="308"/>
        <item x="5"/>
        <item x="137"/>
        <item x="540"/>
        <item x="348"/>
        <item x="979"/>
        <item x="494"/>
        <item x="219"/>
        <item x="428"/>
        <item x="105"/>
        <item x="882"/>
        <item x="564"/>
        <item x="406"/>
        <item x="620"/>
        <item x="546"/>
        <item x="732"/>
        <item x="869"/>
        <item x="571"/>
        <item x="956"/>
        <item x="116"/>
        <item x="341"/>
        <item x="647"/>
        <item x="910"/>
        <item x="801"/>
        <item x="216"/>
        <item x="270"/>
        <item x="565"/>
        <item x="714"/>
        <item x="788"/>
        <item x="996"/>
        <item x="581"/>
        <item x="13"/>
        <item x="129"/>
        <item x="238"/>
        <item x="916"/>
        <item x="388"/>
        <item x="615"/>
        <item x="155"/>
        <item x="980"/>
        <item x="54"/>
        <item x="342"/>
        <item x="175"/>
        <item x="501"/>
        <item x="780"/>
        <item x="69"/>
        <item x="547"/>
        <item x="280"/>
        <item x="942"/>
        <item x="130"/>
        <item x="586"/>
        <item x="121"/>
        <item x="226"/>
        <item x="848"/>
        <item x="582"/>
        <item x="334"/>
        <item x="735"/>
        <item x="608"/>
        <item x="599"/>
        <item x="802"/>
        <item x="227"/>
        <item x="21"/>
        <item x="962"/>
        <item x="456"/>
        <item x="834"/>
        <item x="870"/>
        <item x="423"/>
        <item x="520"/>
        <item x="533"/>
        <item x="241"/>
        <item x="683"/>
        <item x="380"/>
        <item x="539"/>
        <item x="807"/>
        <item x="764"/>
        <item x="298"/>
        <item x="352"/>
        <item x="587"/>
        <item x="507"/>
        <item x="360"/>
        <item x="670"/>
        <item x="18"/>
        <item x="992"/>
        <item x="591"/>
        <item x="134"/>
        <item x="125"/>
        <item x="385"/>
        <item x="885"/>
        <item x="723"/>
        <item x="772"/>
        <item x="849"/>
        <item x="49"/>
        <item x="886"/>
        <item x="364"/>
        <item x="176"/>
        <item x="335"/>
        <item x="99"/>
        <item x="96"/>
        <item x="568"/>
        <item x="453"/>
        <item x="172"/>
        <item x="309"/>
        <item x="701"/>
        <item x="37"/>
        <item x="440"/>
        <item x="70"/>
        <item x="951"/>
        <item x="919"/>
        <item x="534"/>
        <item x="828"/>
        <item x="826"/>
        <item x="985"/>
        <item x="263"/>
        <item x="482"/>
        <item x="139"/>
        <item x="356"/>
        <item x="404"/>
        <item x="911"/>
        <item x="835"/>
        <item x="463"/>
        <item x="877"/>
        <item x="401"/>
        <item x="439"/>
        <item x="552"/>
        <item x="921"/>
        <item x="471"/>
        <item x="57"/>
        <item x="946"/>
        <item x="188"/>
        <item x="690"/>
        <item x="605"/>
        <item x="149"/>
        <item x="616"/>
        <item x="751"/>
        <item x="811"/>
        <item x="468"/>
        <item x="555"/>
        <item x="947"/>
        <item x="617"/>
        <item x="414"/>
        <item x="402"/>
        <item x="264"/>
        <item x="156"/>
        <item x="817"/>
        <item x="299"/>
        <item x="252"/>
        <item x="917"/>
        <item x="353"/>
        <item x="2"/>
        <item x="983"/>
        <item x="887"/>
        <item x="267"/>
        <item x="694"/>
        <item x="255"/>
        <item x="674"/>
        <item x="152"/>
        <item x="349"/>
        <item x="126"/>
        <item x="384"/>
        <item x="497"/>
        <item x="969"/>
        <item x="140"/>
        <item x="373"/>
        <item x="291"/>
        <item x="890"/>
        <item x="6"/>
        <item x="479"/>
        <item x="46"/>
        <item x="924"/>
        <item x="595"/>
        <item x="526"/>
        <item x="557"/>
        <item x="161"/>
        <item x="109"/>
        <item x="106"/>
        <item x="483"/>
        <item x="733"/>
        <item x="871"/>
        <item x="73"/>
        <item x="798"/>
        <item x="389"/>
        <item x="381"/>
        <item x="675"/>
        <item x="730"/>
        <item x="600"/>
        <item x="724"/>
        <item x="472"/>
        <item x="596"/>
        <item x="394"/>
        <item x="415"/>
        <item x="457"/>
        <item x="878"/>
        <item x="818"/>
        <item x="9"/>
        <item x="984"/>
        <item x="854"/>
        <item x="667"/>
        <item x="855"/>
        <item x="809"/>
        <item x="662"/>
        <item x="268"/>
        <item x="451"/>
        <item x="648"/>
        <item x="508"/>
        <item x="184"/>
        <item x="235"/>
        <item x="24"/>
        <item x="927"/>
        <item x="963"/>
        <item x="239"/>
        <item x="592"/>
        <item x="837"/>
        <item x="458"/>
        <item x="475"/>
        <item x="898"/>
        <item x="541"/>
        <item x="566"/>
        <item x="31"/>
        <item x="141"/>
        <item x="903"/>
        <item x="977"/>
        <item x="972"/>
        <item x="484"/>
        <item x="47"/>
        <item x="196"/>
        <item x="97"/>
        <item x="293"/>
        <item x="637"/>
        <item x="27"/>
        <item x="368"/>
        <item x="65"/>
        <item x="572"/>
        <item x="485"/>
        <item x="671"/>
        <item x="343"/>
        <item x="558"/>
        <item x="424"/>
        <item x="374"/>
        <item x="228"/>
        <item x="396"/>
        <item x="569"/>
        <item x="503"/>
        <item x="117"/>
        <item x="142"/>
        <item x="165"/>
        <item x="207"/>
        <item x="93"/>
        <item x="300"/>
        <item x="320"/>
        <item x="912"/>
        <item x="321"/>
        <item x="553"/>
        <item x="829"/>
        <item x="663"/>
        <item x="812"/>
        <item x="652"/>
        <item x="736"/>
        <item x="561"/>
        <item x="664"/>
        <item x="601"/>
        <item x="593"/>
        <item x="631"/>
        <item x="437"/>
        <item x="222"/>
        <item x="230"/>
        <item x="830"/>
        <item x="217"/>
        <item x="292"/>
        <item x="331"/>
        <item x="538"/>
        <item x="166"/>
        <item x="7"/>
        <item x="527"/>
        <item x="33"/>
        <item x="84"/>
        <item x="181"/>
        <item x="805"/>
        <item x="737"/>
        <item x="418"/>
        <item x="929"/>
        <item x="71"/>
        <item x="354"/>
        <item x="147"/>
        <item x="686"/>
        <item x="544"/>
        <item x="588"/>
        <item x="443"/>
        <item x="899"/>
        <item x="707"/>
        <item x="819"/>
        <item x="659"/>
        <item x="948"/>
        <item x="872"/>
        <item x="429"/>
        <item x="589"/>
        <item x="94"/>
        <item x="760"/>
        <item x="743"/>
        <item x="202"/>
        <item x="111"/>
        <item x="618"/>
        <item x="100"/>
        <item x="576"/>
        <item x="405"/>
        <item x="745"/>
        <item x="638"/>
        <item x="535"/>
        <item x="639"/>
        <item x="66"/>
        <item x="38"/>
        <item x="113"/>
        <item x="823"/>
        <item x="416"/>
        <item x="654"/>
        <item x="259"/>
        <item x="930"/>
        <item x="773"/>
        <item x="182"/>
        <item x="365"/>
        <item x="212"/>
        <item x="444"/>
        <item x="957"/>
        <item x="920"/>
        <item x="821"/>
        <item x="464"/>
        <item x="88"/>
        <item x="260"/>
        <item x="574"/>
        <item x="253"/>
        <item x="794"/>
        <item x="976"/>
        <item x="665"/>
        <item x="376"/>
        <item x="964"/>
        <item x="938"/>
        <item x="189"/>
        <item x="810"/>
        <item x="611"/>
        <item x="131"/>
        <item x="509"/>
        <item x="25"/>
        <item x="746"/>
        <item x="8"/>
        <item x="412"/>
        <item x="645"/>
        <item x="474"/>
        <item x="624"/>
        <item x="913"/>
        <item x="327"/>
        <item x="738"/>
        <item x="660"/>
        <item x="668"/>
        <item x="246"/>
        <item x="282"/>
        <item x="542"/>
        <item x="208"/>
        <item x="223"/>
        <item x="799"/>
        <item x="294"/>
        <item x="310"/>
        <item x="766"/>
        <item x="747"/>
        <item x="904"/>
        <item x="122"/>
        <item x="702"/>
        <item x="80"/>
        <item x="987"/>
        <item x="986"/>
        <item x="859"/>
        <item x="135"/>
        <item x="900"/>
        <item x="26"/>
        <item x="883"/>
        <item x="939"/>
        <item x="295"/>
        <item x="261"/>
        <item x="621"/>
        <item x="756"/>
        <item x="0"/>
        <item x="203"/>
        <item x="813"/>
        <item x="943"/>
        <item x="151"/>
        <item x="978"/>
        <item x="491"/>
        <item x="891"/>
        <item x="895"/>
        <item x="452"/>
        <item x="562"/>
        <item x="889"/>
        <item x="866"/>
        <item x="158"/>
        <item x="419"/>
        <item x="200"/>
        <item x="814"/>
        <item x="928"/>
        <item x="322"/>
        <item x="162"/>
        <item x="570"/>
        <item x="536"/>
        <item x="573"/>
        <item x="554"/>
        <item x="194"/>
        <item x="480"/>
        <item x="43"/>
        <item x="390"/>
        <item x="55"/>
        <item x="649"/>
        <item x="914"/>
        <item x="247"/>
        <item x="486"/>
        <item x="857"/>
        <item x="101"/>
        <item x="528"/>
        <item x="695"/>
        <item x="377"/>
        <item x="510"/>
        <item x="892"/>
        <item x="514"/>
        <item x="329"/>
        <item x="543"/>
        <item x="982"/>
        <item x="661"/>
        <item x="213"/>
        <item x="123"/>
        <item x="445"/>
        <item x="167"/>
        <item x="715"/>
        <item x="244"/>
        <item x="850"/>
        <item x="159"/>
        <item x="502"/>
        <item x="143"/>
        <item x="845"/>
        <item x="28"/>
        <item x="195"/>
        <item x="220"/>
        <item x="548"/>
        <item x="318"/>
        <item x="425"/>
        <item x="311"/>
        <item x="583"/>
        <item x="767"/>
        <item x="231"/>
        <item x="240"/>
        <item x="236"/>
        <item x="575"/>
        <item x="391"/>
        <item x="3"/>
        <item x="716"/>
        <item x="160"/>
        <item x="584"/>
        <item x="822"/>
        <item x="14"/>
        <item x="655"/>
        <item x="127"/>
        <item x="433"/>
        <item x="366"/>
        <item x="357"/>
        <item x="248"/>
        <item x="625"/>
        <item x="206"/>
        <item x="958"/>
        <item x="789"/>
        <item x="34"/>
        <item x="884"/>
        <item x="67"/>
        <item x="19"/>
        <item x="998"/>
        <item x="274"/>
        <item x="841"/>
        <item x="679"/>
        <item x="867"/>
        <item x="824"/>
        <item x="148"/>
        <item x="128"/>
        <item x="703"/>
        <item x="170"/>
        <item x="815"/>
        <item x="224"/>
        <item x="32"/>
        <item x="448"/>
        <item x="304"/>
        <item x="262"/>
        <item x="201"/>
        <item x="336"/>
        <item x="633"/>
        <item x="286"/>
        <item x="408"/>
        <item x="606"/>
        <item x="795"/>
        <item x="559"/>
        <item x="656"/>
        <item x="560"/>
        <item x="842"/>
        <item x="777"/>
        <item x="769"/>
        <item x="846"/>
        <item x="634"/>
        <item x="361"/>
        <item x="476"/>
        <item x="684"/>
        <item x="657"/>
        <item x="757"/>
        <item x="691"/>
        <item x="622"/>
        <item x="758"/>
        <item x="345"/>
        <item x="993"/>
        <item x="132"/>
        <item x="729"/>
        <item x="426"/>
        <item x="524"/>
        <item x="863"/>
        <item x="934"/>
        <item x="677"/>
        <item x="893"/>
        <item x="905"/>
        <item x="672"/>
        <item x="20"/>
        <item x="676"/>
        <item x="796"/>
        <item x="430"/>
        <item x="369"/>
        <item x="790"/>
        <item x="706"/>
        <item x="492"/>
        <item x="640"/>
        <item x="880"/>
        <item x="931"/>
        <item x="39"/>
        <item x="906"/>
        <item x="831"/>
        <item x="952"/>
        <item x="301"/>
        <item x="495"/>
        <item x="803"/>
        <item x="102"/>
        <item x="932"/>
        <item x="725"/>
        <item x="465"/>
        <item x="511"/>
        <item x="752"/>
        <item x="602"/>
        <item x="786"/>
        <item x="249"/>
        <item x="496"/>
        <item x="22"/>
        <item x="204"/>
        <item x="242"/>
        <item x="940"/>
        <item x="999"/>
        <item x="516"/>
        <item x="806"/>
        <item x="265"/>
        <item x="173"/>
        <item x="791"/>
        <item x="761"/>
        <item x="692"/>
        <item x="35"/>
        <item x="15"/>
        <item x="153"/>
        <item x="302"/>
        <item x="504"/>
        <item x="378"/>
        <item x="499"/>
        <item x="459"/>
        <item x="305"/>
        <item x="328"/>
        <item x="370"/>
        <item x="641"/>
        <item x="781"/>
        <item x="163"/>
        <item x="89"/>
        <item x="873"/>
        <item x="74"/>
        <item x="447"/>
        <item x="487"/>
        <item x="726"/>
        <item x="897"/>
        <item x="337"/>
        <item x="748"/>
        <item x="965"/>
        <item x="626"/>
        <item x="894"/>
        <item x="225"/>
        <item x="197"/>
        <item x="973"/>
        <item x="843"/>
        <item x="836"/>
        <item x="721"/>
        <item x="922"/>
        <item x="609"/>
        <item x="852"/>
        <item x="860"/>
        <item x="421"/>
        <item x="970"/>
        <item x="971"/>
        <item x="330"/>
        <item x="556"/>
        <item x="685"/>
        <item x="627"/>
        <item x="739"/>
        <item x="276"/>
        <item x="925"/>
        <item x="269"/>
        <item x="936"/>
        <item x="10"/>
        <item x="118"/>
        <item x="312"/>
        <item x="512"/>
        <item x="597"/>
        <item x="696"/>
        <item x="95"/>
        <item x="332"/>
        <item x="693"/>
        <item x="409"/>
        <item x="346"/>
        <item x="177"/>
        <item x="211"/>
        <item x="40"/>
        <item x="114"/>
        <item x="740"/>
        <item x="75"/>
        <item x="85"/>
        <item x="454"/>
        <item x="515"/>
        <item x="58"/>
        <item x="578"/>
        <item x="214"/>
        <item x="697"/>
        <item x="529"/>
        <item x="847"/>
        <item x="338"/>
        <item x="256"/>
        <item x="727"/>
        <item x="549"/>
        <item x="119"/>
        <item x="371"/>
        <item x="313"/>
        <item x="434"/>
        <item x="250"/>
        <item x="257"/>
        <item x="687"/>
        <item x="461"/>
        <item x="959"/>
        <item x="395"/>
        <item x="741"/>
        <item x="827"/>
        <item x="838"/>
        <item x="469"/>
        <item x="164"/>
        <item x="954"/>
        <item x="839"/>
        <item x="717"/>
        <item x="410"/>
        <item x="133"/>
        <item x="283"/>
        <item x="861"/>
        <item x="271"/>
        <item x="782"/>
        <item x="530"/>
        <item x="856"/>
        <item x="284"/>
        <item x="110"/>
        <item x="953"/>
        <item x="50"/>
        <item x="960"/>
        <item x="537"/>
        <item x="473"/>
        <item x="362"/>
        <item x="98"/>
        <item x="787"/>
        <item x="753"/>
        <item x="41"/>
        <item x="422"/>
        <item x="988"/>
        <item x="61"/>
        <item x="397"/>
        <item x="72"/>
        <item x="990"/>
        <item x="774"/>
        <item x="607"/>
        <item x="435"/>
        <item x="888"/>
        <item x="90"/>
        <item x="218"/>
        <item x="285"/>
        <item x="517"/>
        <item x="215"/>
        <item x="372"/>
        <item x="518"/>
        <item x="16"/>
        <item x="427"/>
        <item x="844"/>
        <item x="521"/>
        <item x="375"/>
        <item x="296"/>
        <item x="178"/>
        <item x="832"/>
        <item x="288"/>
        <item x="612"/>
        <item x="820"/>
        <item x="17"/>
        <item x="728"/>
        <item x="56"/>
        <item x="4"/>
        <item x="53"/>
        <item x="272"/>
        <item x="59"/>
        <item x="594"/>
        <item x="720"/>
        <item x="138"/>
        <item x="673"/>
        <item x="466"/>
        <item x="989"/>
        <item x="688"/>
        <item x="171"/>
        <item x="579"/>
        <item x="763"/>
        <item x="403"/>
        <item x="179"/>
        <item x="967"/>
        <item x="306"/>
        <item x="266"/>
        <item x="417"/>
        <item x="698"/>
        <item x="580"/>
        <item x="851"/>
        <item x="968"/>
        <item x="460"/>
        <item x="277"/>
        <item x="966"/>
        <item x="879"/>
        <item x="711"/>
        <item x="864"/>
        <item x="103"/>
        <item x="355"/>
        <item x="944"/>
        <item x="644"/>
        <item x="398"/>
        <item x="251"/>
        <item x="180"/>
        <item x="585"/>
        <item x="392"/>
        <item x="792"/>
        <item x="237"/>
        <item x="991"/>
        <item x="995"/>
        <item x="567"/>
        <item x="709"/>
        <item x="749"/>
        <item x="754"/>
        <item x="107"/>
        <item x="651"/>
        <item x="531"/>
        <item x="874"/>
        <item x="319"/>
        <item x="29"/>
        <item x="550"/>
        <item x="699"/>
        <item x="488"/>
        <item x="350"/>
        <item x="762"/>
        <item x="243"/>
        <item x="907"/>
        <item x="168"/>
        <item x="91"/>
        <item x="825"/>
        <item x="481"/>
        <item x="281"/>
        <item x="323"/>
        <item x="678"/>
        <item x="62"/>
        <item x="367"/>
        <item x="11"/>
        <item x="187"/>
        <item x="477"/>
        <item x="470"/>
        <item x="315"/>
        <item x="386"/>
        <item x="710"/>
        <item x="76"/>
        <item x="324"/>
        <item x="104"/>
        <item x="198"/>
        <item x="199"/>
        <item x="278"/>
        <item x="77"/>
        <item x="325"/>
        <item x="183"/>
        <item x="770"/>
        <item x="680"/>
        <item x="722"/>
        <item x="150"/>
        <item x="254"/>
        <item x="154"/>
        <item x="273"/>
        <item x="681"/>
        <item x="407"/>
        <item x="896"/>
        <item x="742"/>
        <item x="190"/>
        <item x="86"/>
        <item x="862"/>
        <item x="642"/>
        <item x="44"/>
        <item x="759"/>
        <item x="563"/>
        <item x="81"/>
        <item x="875"/>
        <item x="232"/>
        <item x="783"/>
        <item x="808"/>
        <item x="635"/>
        <item x="462"/>
        <item x="1"/>
        <item x="393"/>
        <item x="731"/>
        <item x="144"/>
        <item x="87"/>
        <item x="498"/>
        <item x="275"/>
        <item x="233"/>
        <item x="505"/>
        <item x="436"/>
        <item x="287"/>
        <item x="519"/>
        <item x="30"/>
        <item x="522"/>
        <item x="326"/>
        <item x="51"/>
        <item x="279"/>
        <item x="590"/>
        <item x="908"/>
        <item x="704"/>
        <item x="297"/>
        <item x="632"/>
        <item x="797"/>
        <item x="145"/>
        <item x="136"/>
        <item x="750"/>
        <item x="945"/>
        <item x="289"/>
        <item x="358"/>
        <item x="36"/>
        <item x="185"/>
        <item x="744"/>
        <item x="146"/>
        <item x="712"/>
        <item x="603"/>
        <item x="876"/>
        <item x="467"/>
        <item x="994"/>
        <item x="316"/>
        <item x="441"/>
        <item x="646"/>
        <item x="643"/>
        <item x="513"/>
        <item x="191"/>
        <item x="598"/>
        <item x="379"/>
        <item x="120"/>
        <item x="411"/>
        <item x="901"/>
        <item x="92"/>
        <item x="623"/>
        <item x="420"/>
        <item x="78"/>
        <item x="713"/>
        <item x="333"/>
        <item t="default"/>
      </items>
    </pivotField>
    <pivotField numFmtId="177" showAll="0">
      <items count="342"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>
      <items count="14">
        <item x="4"/>
        <item x="12"/>
        <item x="6"/>
        <item x="7"/>
        <item x="8"/>
        <item x="5"/>
        <item x="2"/>
        <item x="11"/>
        <item x="9"/>
        <item x="10"/>
        <item x="3"/>
        <item x="0"/>
        <item x="1"/>
        <item t="default"/>
      </items>
    </pivotField>
    <pivotField showAll="0"/>
    <pivotField numFmtId="178" showAll="0"/>
    <pivotField numFmtId="178" showAll="0"/>
    <pivotField dataField="1" numFmtId="178" showAll="0"/>
    <pivotField showAll="0">
      <items count="4"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Sum of Revenue" fld="9" baseField="0" baseItem="0" numFmtId="176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B1004" firstHeaderRow="1" firstDataRow="1" firstDataCol="1"/>
  <pivotFields count="13">
    <pivotField axis="axisRow" showAll="0">
      <items count="1001">
        <item x="981"/>
        <item x="865"/>
        <item x="974"/>
        <item x="209"/>
        <item x="700"/>
        <item x="784"/>
        <item x="705"/>
        <item x="489"/>
        <item x="351"/>
        <item x="124"/>
        <item x="955"/>
        <item x="868"/>
        <item x="775"/>
        <item x="12"/>
        <item x="245"/>
        <item x="619"/>
        <item x="937"/>
        <item x="923"/>
        <item x="83"/>
        <item x="629"/>
        <item x="174"/>
        <item x="816"/>
        <item x="853"/>
        <item x="157"/>
        <item x="258"/>
        <item x="42"/>
        <item x="577"/>
        <item x="290"/>
        <item x="112"/>
        <item x="778"/>
        <item x="307"/>
        <item x="666"/>
        <item x="317"/>
        <item x="229"/>
        <item x="708"/>
        <item x="438"/>
        <item x="840"/>
        <item x="169"/>
        <item x="915"/>
        <item x="975"/>
        <item x="60"/>
        <item x="658"/>
        <item x="79"/>
        <item x="941"/>
        <item x="432"/>
        <item x="734"/>
        <item x="604"/>
        <item x="949"/>
        <item x="768"/>
        <item x="933"/>
        <item x="363"/>
        <item x="793"/>
        <item x="551"/>
        <item x="935"/>
        <item x="52"/>
        <item x="186"/>
        <item x="82"/>
        <item x="718"/>
        <item x="442"/>
        <item x="545"/>
        <item x="909"/>
        <item x="500"/>
        <item x="387"/>
        <item x="63"/>
        <item x="630"/>
        <item x="613"/>
        <item x="719"/>
        <item x="650"/>
        <item x="961"/>
        <item x="779"/>
        <item x="210"/>
        <item x="234"/>
        <item x="399"/>
        <item x="490"/>
        <item x="493"/>
        <item x="669"/>
        <item x="525"/>
        <item x="628"/>
        <item x="339"/>
        <item x="682"/>
        <item x="532"/>
        <item x="45"/>
        <item x="755"/>
        <item x="506"/>
        <item x="455"/>
        <item x="997"/>
        <item x="478"/>
        <item x="68"/>
        <item x="64"/>
        <item x="221"/>
        <item x="48"/>
        <item x="431"/>
        <item x="400"/>
        <item x="382"/>
        <item x="765"/>
        <item x="881"/>
        <item x="804"/>
        <item x="359"/>
        <item x="303"/>
        <item x="858"/>
        <item x="950"/>
        <item x="347"/>
        <item x="383"/>
        <item x="785"/>
        <item x="115"/>
        <item x="610"/>
        <item x="614"/>
        <item x="800"/>
        <item x="926"/>
        <item x="413"/>
        <item x="192"/>
        <item x="449"/>
        <item x="314"/>
        <item x="450"/>
        <item x="771"/>
        <item x="446"/>
        <item x="108"/>
        <item x="636"/>
        <item x="523"/>
        <item x="340"/>
        <item x="689"/>
        <item x="653"/>
        <item x="833"/>
        <item x="344"/>
        <item x="776"/>
        <item x="193"/>
        <item x="902"/>
        <item x="23"/>
        <item x="205"/>
        <item x="918"/>
        <item x="308"/>
        <item x="5"/>
        <item x="137"/>
        <item x="540"/>
        <item x="348"/>
        <item x="979"/>
        <item x="494"/>
        <item x="219"/>
        <item x="428"/>
        <item x="105"/>
        <item x="882"/>
        <item x="564"/>
        <item x="406"/>
        <item x="620"/>
        <item x="546"/>
        <item x="732"/>
        <item x="869"/>
        <item x="571"/>
        <item x="956"/>
        <item x="116"/>
        <item x="341"/>
        <item x="647"/>
        <item x="910"/>
        <item x="801"/>
        <item x="216"/>
        <item x="270"/>
        <item x="565"/>
        <item x="714"/>
        <item x="788"/>
        <item x="996"/>
        <item x="581"/>
        <item x="13"/>
        <item x="129"/>
        <item x="238"/>
        <item x="916"/>
        <item x="388"/>
        <item x="615"/>
        <item x="155"/>
        <item x="980"/>
        <item x="54"/>
        <item x="342"/>
        <item x="175"/>
        <item x="501"/>
        <item x="780"/>
        <item x="69"/>
        <item x="547"/>
        <item x="280"/>
        <item x="942"/>
        <item x="130"/>
        <item x="586"/>
        <item x="121"/>
        <item x="226"/>
        <item x="848"/>
        <item x="582"/>
        <item x="334"/>
        <item x="735"/>
        <item x="608"/>
        <item x="599"/>
        <item x="802"/>
        <item x="227"/>
        <item x="21"/>
        <item x="962"/>
        <item x="456"/>
        <item x="834"/>
        <item x="870"/>
        <item x="423"/>
        <item x="520"/>
        <item x="533"/>
        <item x="241"/>
        <item x="683"/>
        <item x="380"/>
        <item x="539"/>
        <item x="807"/>
        <item x="764"/>
        <item x="298"/>
        <item x="352"/>
        <item x="587"/>
        <item x="507"/>
        <item x="360"/>
        <item x="670"/>
        <item x="18"/>
        <item x="992"/>
        <item x="591"/>
        <item x="134"/>
        <item x="125"/>
        <item x="385"/>
        <item x="885"/>
        <item x="723"/>
        <item x="772"/>
        <item x="849"/>
        <item x="49"/>
        <item x="886"/>
        <item x="364"/>
        <item x="176"/>
        <item x="335"/>
        <item x="99"/>
        <item x="96"/>
        <item x="568"/>
        <item x="453"/>
        <item x="172"/>
        <item x="309"/>
        <item x="701"/>
        <item x="37"/>
        <item x="440"/>
        <item x="70"/>
        <item x="951"/>
        <item x="919"/>
        <item x="534"/>
        <item x="828"/>
        <item x="826"/>
        <item x="985"/>
        <item x="263"/>
        <item x="482"/>
        <item x="139"/>
        <item x="356"/>
        <item x="404"/>
        <item x="911"/>
        <item x="835"/>
        <item x="463"/>
        <item x="877"/>
        <item x="401"/>
        <item x="439"/>
        <item x="552"/>
        <item x="921"/>
        <item x="471"/>
        <item x="57"/>
        <item x="946"/>
        <item x="188"/>
        <item x="690"/>
        <item x="605"/>
        <item x="149"/>
        <item x="616"/>
        <item x="751"/>
        <item x="811"/>
        <item x="468"/>
        <item x="555"/>
        <item x="947"/>
        <item x="617"/>
        <item x="414"/>
        <item x="402"/>
        <item x="264"/>
        <item x="156"/>
        <item x="817"/>
        <item x="299"/>
        <item x="252"/>
        <item x="917"/>
        <item x="353"/>
        <item x="2"/>
        <item x="983"/>
        <item x="887"/>
        <item x="267"/>
        <item x="694"/>
        <item x="255"/>
        <item x="674"/>
        <item x="152"/>
        <item x="349"/>
        <item x="126"/>
        <item x="384"/>
        <item x="497"/>
        <item x="969"/>
        <item x="140"/>
        <item x="373"/>
        <item x="291"/>
        <item x="890"/>
        <item x="6"/>
        <item x="479"/>
        <item x="46"/>
        <item x="924"/>
        <item x="595"/>
        <item x="526"/>
        <item x="557"/>
        <item x="161"/>
        <item x="109"/>
        <item x="106"/>
        <item x="483"/>
        <item x="733"/>
        <item x="871"/>
        <item x="73"/>
        <item x="798"/>
        <item x="389"/>
        <item x="381"/>
        <item x="675"/>
        <item x="730"/>
        <item x="600"/>
        <item x="724"/>
        <item x="472"/>
        <item x="596"/>
        <item x="394"/>
        <item x="415"/>
        <item x="457"/>
        <item x="878"/>
        <item x="818"/>
        <item x="9"/>
        <item x="984"/>
        <item x="854"/>
        <item x="667"/>
        <item x="855"/>
        <item x="809"/>
        <item x="662"/>
        <item x="268"/>
        <item x="451"/>
        <item x="648"/>
        <item x="508"/>
        <item x="184"/>
        <item x="235"/>
        <item x="24"/>
        <item x="927"/>
        <item x="963"/>
        <item x="239"/>
        <item x="592"/>
        <item x="837"/>
        <item x="458"/>
        <item x="475"/>
        <item x="898"/>
        <item x="541"/>
        <item x="566"/>
        <item x="31"/>
        <item x="141"/>
        <item x="903"/>
        <item x="977"/>
        <item x="972"/>
        <item x="484"/>
        <item x="47"/>
        <item x="196"/>
        <item x="97"/>
        <item x="293"/>
        <item x="637"/>
        <item x="27"/>
        <item x="368"/>
        <item x="65"/>
        <item x="572"/>
        <item x="485"/>
        <item x="671"/>
        <item x="343"/>
        <item x="558"/>
        <item x="424"/>
        <item x="374"/>
        <item x="228"/>
        <item x="396"/>
        <item x="569"/>
        <item x="503"/>
        <item x="117"/>
        <item x="142"/>
        <item x="165"/>
        <item x="207"/>
        <item x="93"/>
        <item x="300"/>
        <item x="320"/>
        <item x="912"/>
        <item x="321"/>
        <item x="553"/>
        <item x="829"/>
        <item x="663"/>
        <item x="812"/>
        <item x="652"/>
        <item x="736"/>
        <item x="561"/>
        <item x="664"/>
        <item x="601"/>
        <item x="593"/>
        <item x="631"/>
        <item x="437"/>
        <item x="222"/>
        <item x="230"/>
        <item x="830"/>
        <item x="217"/>
        <item x="292"/>
        <item x="331"/>
        <item x="538"/>
        <item x="166"/>
        <item x="7"/>
        <item x="527"/>
        <item x="33"/>
        <item x="84"/>
        <item x="181"/>
        <item x="805"/>
        <item x="737"/>
        <item x="418"/>
        <item x="929"/>
        <item x="71"/>
        <item x="354"/>
        <item x="147"/>
        <item x="686"/>
        <item x="544"/>
        <item x="588"/>
        <item x="443"/>
        <item x="899"/>
        <item x="707"/>
        <item x="819"/>
        <item x="659"/>
        <item x="948"/>
        <item x="872"/>
        <item x="429"/>
        <item x="589"/>
        <item x="94"/>
        <item x="760"/>
        <item x="743"/>
        <item x="202"/>
        <item x="111"/>
        <item x="618"/>
        <item x="100"/>
        <item x="576"/>
        <item x="405"/>
        <item x="745"/>
        <item x="638"/>
        <item x="535"/>
        <item x="639"/>
        <item x="66"/>
        <item x="38"/>
        <item x="113"/>
        <item x="823"/>
        <item x="416"/>
        <item x="654"/>
        <item x="259"/>
        <item x="930"/>
        <item x="773"/>
        <item x="182"/>
        <item x="365"/>
        <item x="212"/>
        <item x="444"/>
        <item x="957"/>
        <item x="920"/>
        <item x="821"/>
        <item x="464"/>
        <item x="88"/>
        <item x="260"/>
        <item x="574"/>
        <item x="253"/>
        <item x="794"/>
        <item x="976"/>
        <item x="665"/>
        <item x="376"/>
        <item x="964"/>
        <item x="938"/>
        <item x="189"/>
        <item x="810"/>
        <item x="611"/>
        <item x="131"/>
        <item x="509"/>
        <item x="25"/>
        <item x="746"/>
        <item x="8"/>
        <item x="412"/>
        <item x="645"/>
        <item x="474"/>
        <item x="624"/>
        <item x="913"/>
        <item x="327"/>
        <item x="738"/>
        <item x="660"/>
        <item x="668"/>
        <item x="246"/>
        <item x="282"/>
        <item x="542"/>
        <item x="208"/>
        <item x="223"/>
        <item x="799"/>
        <item x="294"/>
        <item x="310"/>
        <item x="766"/>
        <item x="747"/>
        <item x="904"/>
        <item x="122"/>
        <item x="702"/>
        <item x="80"/>
        <item x="987"/>
        <item x="986"/>
        <item x="859"/>
        <item x="135"/>
        <item x="900"/>
        <item x="26"/>
        <item x="883"/>
        <item x="939"/>
        <item x="295"/>
        <item x="261"/>
        <item x="621"/>
        <item x="756"/>
        <item x="0"/>
        <item x="203"/>
        <item x="813"/>
        <item x="943"/>
        <item x="151"/>
        <item x="978"/>
        <item x="491"/>
        <item x="891"/>
        <item x="895"/>
        <item x="452"/>
        <item x="562"/>
        <item x="889"/>
        <item x="866"/>
        <item x="158"/>
        <item x="419"/>
        <item x="200"/>
        <item x="814"/>
        <item x="928"/>
        <item x="322"/>
        <item x="162"/>
        <item x="570"/>
        <item x="536"/>
        <item x="573"/>
        <item x="554"/>
        <item x="194"/>
        <item x="480"/>
        <item x="43"/>
        <item x="390"/>
        <item x="55"/>
        <item x="649"/>
        <item x="914"/>
        <item x="247"/>
        <item x="486"/>
        <item x="857"/>
        <item x="101"/>
        <item x="528"/>
        <item x="695"/>
        <item x="377"/>
        <item x="510"/>
        <item x="892"/>
        <item x="514"/>
        <item x="329"/>
        <item x="543"/>
        <item x="982"/>
        <item x="661"/>
        <item x="213"/>
        <item x="123"/>
        <item x="445"/>
        <item x="167"/>
        <item x="715"/>
        <item x="244"/>
        <item x="850"/>
        <item x="159"/>
        <item x="502"/>
        <item x="143"/>
        <item x="845"/>
        <item x="28"/>
        <item x="195"/>
        <item x="220"/>
        <item x="548"/>
        <item x="318"/>
        <item x="425"/>
        <item x="311"/>
        <item x="583"/>
        <item x="767"/>
        <item x="231"/>
        <item x="240"/>
        <item x="236"/>
        <item x="575"/>
        <item x="391"/>
        <item x="3"/>
        <item x="716"/>
        <item x="160"/>
        <item x="584"/>
        <item x="822"/>
        <item x="14"/>
        <item x="655"/>
        <item x="127"/>
        <item x="433"/>
        <item x="366"/>
        <item x="357"/>
        <item x="248"/>
        <item x="625"/>
        <item x="206"/>
        <item x="958"/>
        <item x="789"/>
        <item x="34"/>
        <item x="884"/>
        <item x="67"/>
        <item x="19"/>
        <item x="998"/>
        <item x="274"/>
        <item x="841"/>
        <item x="679"/>
        <item x="867"/>
        <item x="824"/>
        <item x="148"/>
        <item x="128"/>
        <item x="703"/>
        <item x="170"/>
        <item x="815"/>
        <item x="224"/>
        <item x="32"/>
        <item x="448"/>
        <item x="304"/>
        <item x="262"/>
        <item x="201"/>
        <item x="336"/>
        <item x="633"/>
        <item x="286"/>
        <item x="408"/>
        <item x="606"/>
        <item x="795"/>
        <item x="559"/>
        <item x="656"/>
        <item x="560"/>
        <item x="842"/>
        <item x="777"/>
        <item x="769"/>
        <item x="846"/>
        <item x="634"/>
        <item x="361"/>
        <item x="476"/>
        <item x="684"/>
        <item x="657"/>
        <item x="757"/>
        <item x="691"/>
        <item x="622"/>
        <item x="758"/>
        <item x="345"/>
        <item x="993"/>
        <item x="132"/>
        <item x="729"/>
        <item x="426"/>
        <item x="524"/>
        <item x="863"/>
        <item x="934"/>
        <item x="677"/>
        <item x="893"/>
        <item x="905"/>
        <item x="672"/>
        <item x="20"/>
        <item x="676"/>
        <item x="796"/>
        <item x="430"/>
        <item x="369"/>
        <item x="790"/>
        <item x="706"/>
        <item x="492"/>
        <item x="640"/>
        <item x="880"/>
        <item x="931"/>
        <item x="39"/>
        <item x="906"/>
        <item x="831"/>
        <item x="952"/>
        <item x="301"/>
        <item x="495"/>
        <item x="803"/>
        <item x="102"/>
        <item x="932"/>
        <item x="725"/>
        <item x="465"/>
        <item x="511"/>
        <item x="752"/>
        <item x="602"/>
        <item x="786"/>
        <item x="249"/>
        <item x="496"/>
        <item x="22"/>
        <item x="204"/>
        <item x="242"/>
        <item x="940"/>
        <item x="999"/>
        <item x="516"/>
        <item x="806"/>
        <item x="265"/>
        <item x="173"/>
        <item x="791"/>
        <item x="761"/>
        <item x="692"/>
        <item x="35"/>
        <item x="15"/>
        <item x="153"/>
        <item x="302"/>
        <item x="504"/>
        <item x="378"/>
        <item x="499"/>
        <item x="459"/>
        <item x="305"/>
        <item x="328"/>
        <item x="370"/>
        <item x="641"/>
        <item x="781"/>
        <item x="163"/>
        <item x="89"/>
        <item x="873"/>
        <item x="74"/>
        <item x="447"/>
        <item x="487"/>
        <item x="726"/>
        <item x="897"/>
        <item x="337"/>
        <item x="748"/>
        <item x="965"/>
        <item x="626"/>
        <item x="894"/>
        <item x="225"/>
        <item x="197"/>
        <item x="973"/>
        <item x="843"/>
        <item x="836"/>
        <item x="721"/>
        <item x="922"/>
        <item x="609"/>
        <item x="852"/>
        <item x="860"/>
        <item x="421"/>
        <item x="970"/>
        <item x="971"/>
        <item x="330"/>
        <item x="556"/>
        <item x="685"/>
        <item x="627"/>
        <item x="739"/>
        <item x="276"/>
        <item x="925"/>
        <item x="269"/>
        <item x="936"/>
        <item x="10"/>
        <item x="118"/>
        <item x="312"/>
        <item x="512"/>
        <item x="597"/>
        <item x="696"/>
        <item x="95"/>
        <item x="332"/>
        <item x="693"/>
        <item x="409"/>
        <item x="346"/>
        <item x="177"/>
        <item x="211"/>
        <item x="40"/>
        <item x="114"/>
        <item x="740"/>
        <item x="75"/>
        <item x="85"/>
        <item x="454"/>
        <item x="515"/>
        <item x="58"/>
        <item x="578"/>
        <item x="214"/>
        <item x="697"/>
        <item x="529"/>
        <item x="847"/>
        <item x="338"/>
        <item x="256"/>
        <item x="727"/>
        <item x="549"/>
        <item x="119"/>
        <item x="371"/>
        <item x="313"/>
        <item x="434"/>
        <item x="250"/>
        <item x="257"/>
        <item x="687"/>
        <item x="461"/>
        <item x="959"/>
        <item x="395"/>
        <item x="741"/>
        <item x="827"/>
        <item x="838"/>
        <item x="469"/>
        <item x="164"/>
        <item x="954"/>
        <item x="839"/>
        <item x="717"/>
        <item x="410"/>
        <item x="133"/>
        <item x="283"/>
        <item x="861"/>
        <item x="271"/>
        <item x="782"/>
        <item x="530"/>
        <item x="856"/>
        <item x="284"/>
        <item x="110"/>
        <item x="953"/>
        <item x="50"/>
        <item x="960"/>
        <item x="537"/>
        <item x="473"/>
        <item x="362"/>
        <item x="98"/>
        <item x="787"/>
        <item x="753"/>
        <item x="41"/>
        <item x="422"/>
        <item x="988"/>
        <item x="61"/>
        <item x="397"/>
        <item x="72"/>
        <item x="990"/>
        <item x="774"/>
        <item x="607"/>
        <item x="435"/>
        <item x="888"/>
        <item x="90"/>
        <item x="218"/>
        <item x="285"/>
        <item x="517"/>
        <item x="215"/>
        <item x="372"/>
        <item x="518"/>
        <item x="16"/>
        <item x="427"/>
        <item x="844"/>
        <item x="521"/>
        <item x="375"/>
        <item x="296"/>
        <item x="178"/>
        <item x="832"/>
        <item x="288"/>
        <item x="612"/>
        <item x="820"/>
        <item x="17"/>
        <item x="728"/>
        <item x="56"/>
        <item x="4"/>
        <item x="53"/>
        <item x="272"/>
        <item x="59"/>
        <item x="594"/>
        <item x="720"/>
        <item x="138"/>
        <item x="673"/>
        <item x="466"/>
        <item x="989"/>
        <item x="688"/>
        <item x="171"/>
        <item x="579"/>
        <item x="763"/>
        <item x="403"/>
        <item x="179"/>
        <item x="967"/>
        <item x="306"/>
        <item x="266"/>
        <item x="417"/>
        <item x="698"/>
        <item x="580"/>
        <item x="851"/>
        <item x="968"/>
        <item x="460"/>
        <item x="277"/>
        <item x="966"/>
        <item x="879"/>
        <item x="711"/>
        <item x="864"/>
        <item x="103"/>
        <item x="355"/>
        <item x="944"/>
        <item x="644"/>
        <item x="398"/>
        <item x="251"/>
        <item x="180"/>
        <item x="585"/>
        <item x="392"/>
        <item x="792"/>
        <item x="237"/>
        <item x="991"/>
        <item x="995"/>
        <item x="567"/>
        <item x="709"/>
        <item x="749"/>
        <item x="754"/>
        <item x="107"/>
        <item x="651"/>
        <item x="531"/>
        <item x="874"/>
        <item x="319"/>
        <item x="29"/>
        <item x="550"/>
        <item x="699"/>
        <item x="488"/>
        <item x="350"/>
        <item x="762"/>
        <item x="243"/>
        <item x="907"/>
        <item x="168"/>
        <item x="91"/>
        <item x="825"/>
        <item x="481"/>
        <item x="281"/>
        <item x="323"/>
        <item x="678"/>
        <item x="62"/>
        <item x="367"/>
        <item x="11"/>
        <item x="187"/>
        <item x="477"/>
        <item x="470"/>
        <item x="315"/>
        <item x="386"/>
        <item x="710"/>
        <item x="76"/>
        <item x="324"/>
        <item x="104"/>
        <item x="198"/>
        <item x="199"/>
        <item x="278"/>
        <item x="77"/>
        <item x="325"/>
        <item x="183"/>
        <item x="770"/>
        <item x="680"/>
        <item x="722"/>
        <item x="150"/>
        <item x="254"/>
        <item x="154"/>
        <item x="273"/>
        <item x="681"/>
        <item x="407"/>
        <item x="896"/>
        <item x="742"/>
        <item x="190"/>
        <item x="86"/>
        <item x="862"/>
        <item x="642"/>
        <item x="44"/>
        <item x="759"/>
        <item x="563"/>
        <item x="81"/>
        <item x="875"/>
        <item x="232"/>
        <item x="783"/>
        <item x="808"/>
        <item x="635"/>
        <item x="462"/>
        <item x="1"/>
        <item x="393"/>
        <item x="731"/>
        <item x="144"/>
        <item x="87"/>
        <item x="498"/>
        <item x="275"/>
        <item x="233"/>
        <item x="505"/>
        <item x="436"/>
        <item x="287"/>
        <item x="519"/>
        <item x="30"/>
        <item x="522"/>
        <item x="326"/>
        <item x="51"/>
        <item x="279"/>
        <item x="590"/>
        <item x="908"/>
        <item x="704"/>
        <item x="297"/>
        <item x="632"/>
        <item x="797"/>
        <item x="145"/>
        <item x="136"/>
        <item x="750"/>
        <item x="945"/>
        <item x="289"/>
        <item x="358"/>
        <item x="36"/>
        <item x="185"/>
        <item x="744"/>
        <item x="146"/>
        <item x="712"/>
        <item x="603"/>
        <item x="876"/>
        <item x="467"/>
        <item x="994"/>
        <item x="316"/>
        <item x="441"/>
        <item x="646"/>
        <item x="643"/>
        <item x="513"/>
        <item x="191"/>
        <item x="598"/>
        <item x="379"/>
        <item x="120"/>
        <item x="411"/>
        <item x="901"/>
        <item x="92"/>
        <item x="623"/>
        <item x="420"/>
        <item x="78"/>
        <item x="713"/>
        <item x="333"/>
        <item t="default"/>
      </items>
    </pivotField>
    <pivotField numFmtId="177" showAll="0">
      <items count="342"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>
      <items count="14">
        <item x="4"/>
        <item x="12"/>
        <item x="6"/>
        <item x="7"/>
        <item x="8"/>
        <item x="5"/>
        <item x="2"/>
        <item x="11"/>
        <item x="9"/>
        <item x="10"/>
        <item x="3"/>
        <item x="0"/>
        <item x="1"/>
        <item t="default"/>
      </items>
    </pivotField>
    <pivotField dataField="1" showAll="0"/>
    <pivotField numFmtId="178" showAll="0"/>
    <pivotField numFmtId="178" showAll="0"/>
    <pivotField numFmtId="178" showAll="0"/>
    <pivotField showAll="0">
      <items count="4"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2">
  <location ref="A3:C7" firstHeaderRow="0" firstDataRow="1" firstDataCol="1"/>
  <pivotFields count="13">
    <pivotField showAll="0">
      <items count="1001">
        <item x="981"/>
        <item x="865"/>
        <item x="974"/>
        <item x="209"/>
        <item x="700"/>
        <item x="784"/>
        <item x="705"/>
        <item x="489"/>
        <item x="351"/>
        <item x="124"/>
        <item x="955"/>
        <item x="868"/>
        <item x="775"/>
        <item x="12"/>
        <item x="245"/>
        <item x="619"/>
        <item x="937"/>
        <item x="923"/>
        <item x="83"/>
        <item x="629"/>
        <item x="174"/>
        <item x="816"/>
        <item x="853"/>
        <item x="157"/>
        <item x="258"/>
        <item x="42"/>
        <item x="577"/>
        <item x="290"/>
        <item x="112"/>
        <item x="778"/>
        <item x="307"/>
        <item x="666"/>
        <item x="317"/>
        <item x="229"/>
        <item x="708"/>
        <item x="438"/>
        <item x="840"/>
        <item x="169"/>
        <item x="915"/>
        <item x="975"/>
        <item x="60"/>
        <item x="658"/>
        <item x="79"/>
        <item x="941"/>
        <item x="432"/>
        <item x="734"/>
        <item x="604"/>
        <item x="949"/>
        <item x="768"/>
        <item x="933"/>
        <item x="363"/>
        <item x="793"/>
        <item x="551"/>
        <item x="935"/>
        <item x="52"/>
        <item x="186"/>
        <item x="82"/>
        <item x="718"/>
        <item x="442"/>
        <item x="545"/>
        <item x="909"/>
        <item x="500"/>
        <item x="387"/>
        <item x="63"/>
        <item x="630"/>
        <item x="613"/>
        <item x="719"/>
        <item x="650"/>
        <item x="961"/>
        <item x="779"/>
        <item x="210"/>
        <item x="234"/>
        <item x="399"/>
        <item x="490"/>
        <item x="493"/>
        <item x="669"/>
        <item x="525"/>
        <item x="628"/>
        <item x="339"/>
        <item x="682"/>
        <item x="532"/>
        <item x="45"/>
        <item x="755"/>
        <item x="506"/>
        <item x="455"/>
        <item x="997"/>
        <item x="478"/>
        <item x="68"/>
        <item x="64"/>
        <item x="221"/>
        <item x="48"/>
        <item x="431"/>
        <item x="400"/>
        <item x="382"/>
        <item x="765"/>
        <item x="881"/>
        <item x="804"/>
        <item x="359"/>
        <item x="303"/>
        <item x="858"/>
        <item x="950"/>
        <item x="347"/>
        <item x="383"/>
        <item x="785"/>
        <item x="115"/>
        <item x="610"/>
        <item x="614"/>
        <item x="800"/>
        <item x="926"/>
        <item x="413"/>
        <item x="192"/>
        <item x="449"/>
        <item x="314"/>
        <item x="450"/>
        <item x="771"/>
        <item x="446"/>
        <item x="108"/>
        <item x="636"/>
        <item x="523"/>
        <item x="340"/>
        <item x="689"/>
        <item x="653"/>
        <item x="833"/>
        <item x="344"/>
        <item x="776"/>
        <item x="193"/>
        <item x="902"/>
        <item x="23"/>
        <item x="205"/>
        <item x="918"/>
        <item x="308"/>
        <item x="5"/>
        <item x="137"/>
        <item x="540"/>
        <item x="348"/>
        <item x="979"/>
        <item x="494"/>
        <item x="219"/>
        <item x="428"/>
        <item x="105"/>
        <item x="882"/>
        <item x="564"/>
        <item x="406"/>
        <item x="620"/>
        <item x="546"/>
        <item x="732"/>
        <item x="869"/>
        <item x="571"/>
        <item x="956"/>
        <item x="116"/>
        <item x="341"/>
        <item x="647"/>
        <item x="910"/>
        <item x="801"/>
        <item x="216"/>
        <item x="270"/>
        <item x="565"/>
        <item x="714"/>
        <item x="788"/>
        <item x="996"/>
        <item x="581"/>
        <item x="13"/>
        <item x="129"/>
        <item x="238"/>
        <item x="916"/>
        <item x="388"/>
        <item x="615"/>
        <item x="155"/>
        <item x="980"/>
        <item x="54"/>
        <item x="342"/>
        <item x="175"/>
        <item x="501"/>
        <item x="780"/>
        <item x="69"/>
        <item x="547"/>
        <item x="280"/>
        <item x="942"/>
        <item x="130"/>
        <item x="586"/>
        <item x="121"/>
        <item x="226"/>
        <item x="848"/>
        <item x="582"/>
        <item x="334"/>
        <item x="735"/>
        <item x="608"/>
        <item x="599"/>
        <item x="802"/>
        <item x="227"/>
        <item x="21"/>
        <item x="962"/>
        <item x="456"/>
        <item x="834"/>
        <item x="870"/>
        <item x="423"/>
        <item x="520"/>
        <item x="533"/>
        <item x="241"/>
        <item x="683"/>
        <item x="380"/>
        <item x="539"/>
        <item x="807"/>
        <item x="764"/>
        <item x="298"/>
        <item x="352"/>
        <item x="587"/>
        <item x="507"/>
        <item x="360"/>
        <item x="670"/>
        <item x="18"/>
        <item x="992"/>
        <item x="591"/>
        <item x="134"/>
        <item x="125"/>
        <item x="385"/>
        <item x="885"/>
        <item x="723"/>
        <item x="772"/>
        <item x="849"/>
        <item x="49"/>
        <item x="886"/>
        <item x="364"/>
        <item x="176"/>
        <item x="335"/>
        <item x="99"/>
        <item x="96"/>
        <item x="568"/>
        <item x="453"/>
        <item x="172"/>
        <item x="309"/>
        <item x="701"/>
        <item x="37"/>
        <item x="440"/>
        <item x="70"/>
        <item x="951"/>
        <item x="919"/>
        <item x="534"/>
        <item x="828"/>
        <item x="826"/>
        <item x="985"/>
        <item x="263"/>
        <item x="482"/>
        <item x="139"/>
        <item x="356"/>
        <item x="404"/>
        <item x="911"/>
        <item x="835"/>
        <item x="463"/>
        <item x="877"/>
        <item x="401"/>
        <item x="439"/>
        <item x="552"/>
        <item x="921"/>
        <item x="471"/>
        <item x="57"/>
        <item x="946"/>
        <item x="188"/>
        <item x="690"/>
        <item x="605"/>
        <item x="149"/>
        <item x="616"/>
        <item x="751"/>
        <item x="811"/>
        <item x="468"/>
        <item x="555"/>
        <item x="947"/>
        <item x="617"/>
        <item x="414"/>
        <item x="402"/>
        <item x="264"/>
        <item x="156"/>
        <item x="817"/>
        <item x="299"/>
        <item x="252"/>
        <item x="917"/>
        <item x="353"/>
        <item x="2"/>
        <item x="983"/>
        <item x="887"/>
        <item x="267"/>
        <item x="694"/>
        <item x="255"/>
        <item x="674"/>
        <item x="152"/>
        <item x="349"/>
        <item x="126"/>
        <item x="384"/>
        <item x="497"/>
        <item x="969"/>
        <item x="140"/>
        <item x="373"/>
        <item x="291"/>
        <item x="890"/>
        <item x="6"/>
        <item x="479"/>
        <item x="46"/>
        <item x="924"/>
        <item x="595"/>
        <item x="526"/>
        <item x="557"/>
        <item x="161"/>
        <item x="109"/>
        <item x="106"/>
        <item x="483"/>
        <item x="733"/>
        <item x="871"/>
        <item x="73"/>
        <item x="798"/>
        <item x="389"/>
        <item x="381"/>
        <item x="675"/>
        <item x="730"/>
        <item x="600"/>
        <item x="724"/>
        <item x="472"/>
        <item x="596"/>
        <item x="394"/>
        <item x="415"/>
        <item x="457"/>
        <item x="878"/>
        <item x="818"/>
        <item x="9"/>
        <item x="984"/>
        <item x="854"/>
        <item x="667"/>
        <item x="855"/>
        <item x="809"/>
        <item x="662"/>
        <item x="268"/>
        <item x="451"/>
        <item x="648"/>
        <item x="508"/>
        <item x="184"/>
        <item x="235"/>
        <item x="24"/>
        <item x="927"/>
        <item x="963"/>
        <item x="239"/>
        <item x="592"/>
        <item x="837"/>
        <item x="458"/>
        <item x="475"/>
        <item x="898"/>
        <item x="541"/>
        <item x="566"/>
        <item x="31"/>
        <item x="141"/>
        <item x="903"/>
        <item x="977"/>
        <item x="972"/>
        <item x="484"/>
        <item x="47"/>
        <item x="196"/>
        <item x="97"/>
        <item x="293"/>
        <item x="637"/>
        <item x="27"/>
        <item x="368"/>
        <item x="65"/>
        <item x="572"/>
        <item x="485"/>
        <item x="671"/>
        <item x="343"/>
        <item x="558"/>
        <item x="424"/>
        <item x="374"/>
        <item x="228"/>
        <item x="396"/>
        <item x="569"/>
        <item x="503"/>
        <item x="117"/>
        <item x="142"/>
        <item x="165"/>
        <item x="207"/>
        <item x="93"/>
        <item x="300"/>
        <item x="320"/>
        <item x="912"/>
        <item x="321"/>
        <item x="553"/>
        <item x="829"/>
        <item x="663"/>
        <item x="812"/>
        <item x="652"/>
        <item x="736"/>
        <item x="561"/>
        <item x="664"/>
        <item x="601"/>
        <item x="593"/>
        <item x="631"/>
        <item x="437"/>
        <item x="222"/>
        <item x="230"/>
        <item x="830"/>
        <item x="217"/>
        <item x="292"/>
        <item x="331"/>
        <item x="538"/>
        <item x="166"/>
        <item x="7"/>
        <item x="527"/>
        <item x="33"/>
        <item x="84"/>
        <item x="181"/>
        <item x="805"/>
        <item x="737"/>
        <item x="418"/>
        <item x="929"/>
        <item x="71"/>
        <item x="354"/>
        <item x="147"/>
        <item x="686"/>
        <item x="544"/>
        <item x="588"/>
        <item x="443"/>
        <item x="899"/>
        <item x="707"/>
        <item x="819"/>
        <item x="659"/>
        <item x="948"/>
        <item x="872"/>
        <item x="429"/>
        <item x="589"/>
        <item x="94"/>
        <item x="760"/>
        <item x="743"/>
        <item x="202"/>
        <item x="111"/>
        <item x="618"/>
        <item x="100"/>
        <item x="576"/>
        <item x="405"/>
        <item x="745"/>
        <item x="638"/>
        <item x="535"/>
        <item x="639"/>
        <item x="66"/>
        <item x="38"/>
        <item x="113"/>
        <item x="823"/>
        <item x="416"/>
        <item x="654"/>
        <item x="259"/>
        <item x="930"/>
        <item x="773"/>
        <item x="182"/>
        <item x="365"/>
        <item x="212"/>
        <item x="444"/>
        <item x="957"/>
        <item x="920"/>
        <item x="821"/>
        <item x="464"/>
        <item x="88"/>
        <item x="260"/>
        <item x="574"/>
        <item x="253"/>
        <item x="794"/>
        <item x="976"/>
        <item x="665"/>
        <item x="376"/>
        <item x="964"/>
        <item x="938"/>
        <item x="189"/>
        <item x="810"/>
        <item x="611"/>
        <item x="131"/>
        <item x="509"/>
        <item x="25"/>
        <item x="746"/>
        <item x="8"/>
        <item x="412"/>
        <item x="645"/>
        <item x="474"/>
        <item x="624"/>
        <item x="913"/>
        <item x="327"/>
        <item x="738"/>
        <item x="660"/>
        <item x="668"/>
        <item x="246"/>
        <item x="282"/>
        <item x="542"/>
        <item x="208"/>
        <item x="223"/>
        <item x="799"/>
        <item x="294"/>
        <item x="310"/>
        <item x="766"/>
        <item x="747"/>
        <item x="904"/>
        <item x="122"/>
        <item x="702"/>
        <item x="80"/>
        <item x="987"/>
        <item x="986"/>
        <item x="859"/>
        <item x="135"/>
        <item x="900"/>
        <item x="26"/>
        <item x="883"/>
        <item x="939"/>
        <item x="295"/>
        <item x="261"/>
        <item x="621"/>
        <item x="756"/>
        <item x="0"/>
        <item x="203"/>
        <item x="813"/>
        <item x="943"/>
        <item x="151"/>
        <item x="978"/>
        <item x="491"/>
        <item x="891"/>
        <item x="895"/>
        <item x="452"/>
        <item x="562"/>
        <item x="889"/>
        <item x="866"/>
        <item x="158"/>
        <item x="419"/>
        <item x="200"/>
        <item x="814"/>
        <item x="928"/>
        <item x="322"/>
        <item x="162"/>
        <item x="570"/>
        <item x="536"/>
        <item x="573"/>
        <item x="554"/>
        <item x="194"/>
        <item x="480"/>
        <item x="43"/>
        <item x="390"/>
        <item x="55"/>
        <item x="649"/>
        <item x="914"/>
        <item x="247"/>
        <item x="486"/>
        <item x="857"/>
        <item x="101"/>
        <item x="528"/>
        <item x="695"/>
        <item x="377"/>
        <item x="510"/>
        <item x="892"/>
        <item x="514"/>
        <item x="329"/>
        <item x="543"/>
        <item x="982"/>
        <item x="661"/>
        <item x="213"/>
        <item x="123"/>
        <item x="445"/>
        <item x="167"/>
        <item x="715"/>
        <item x="244"/>
        <item x="850"/>
        <item x="159"/>
        <item x="502"/>
        <item x="143"/>
        <item x="845"/>
        <item x="28"/>
        <item x="195"/>
        <item x="220"/>
        <item x="548"/>
        <item x="318"/>
        <item x="425"/>
        <item x="311"/>
        <item x="583"/>
        <item x="767"/>
        <item x="231"/>
        <item x="240"/>
        <item x="236"/>
        <item x="575"/>
        <item x="391"/>
        <item x="3"/>
        <item x="716"/>
        <item x="160"/>
        <item x="584"/>
        <item x="822"/>
        <item x="14"/>
        <item x="655"/>
        <item x="127"/>
        <item x="433"/>
        <item x="366"/>
        <item x="357"/>
        <item x="248"/>
        <item x="625"/>
        <item x="206"/>
        <item x="958"/>
        <item x="789"/>
        <item x="34"/>
        <item x="884"/>
        <item x="67"/>
        <item x="19"/>
        <item x="998"/>
        <item x="274"/>
        <item x="841"/>
        <item x="679"/>
        <item x="867"/>
        <item x="824"/>
        <item x="148"/>
        <item x="128"/>
        <item x="703"/>
        <item x="170"/>
        <item x="815"/>
        <item x="224"/>
        <item x="32"/>
        <item x="448"/>
        <item x="304"/>
        <item x="262"/>
        <item x="201"/>
        <item x="336"/>
        <item x="633"/>
        <item x="286"/>
        <item x="408"/>
        <item x="606"/>
        <item x="795"/>
        <item x="559"/>
        <item x="656"/>
        <item x="560"/>
        <item x="842"/>
        <item x="777"/>
        <item x="769"/>
        <item x="846"/>
        <item x="634"/>
        <item x="361"/>
        <item x="476"/>
        <item x="684"/>
        <item x="657"/>
        <item x="757"/>
        <item x="691"/>
        <item x="622"/>
        <item x="758"/>
        <item x="345"/>
        <item x="993"/>
        <item x="132"/>
        <item x="729"/>
        <item x="426"/>
        <item x="524"/>
        <item x="863"/>
        <item x="934"/>
        <item x="677"/>
        <item x="893"/>
        <item x="905"/>
        <item x="672"/>
        <item x="20"/>
        <item x="676"/>
        <item x="796"/>
        <item x="430"/>
        <item x="369"/>
        <item x="790"/>
        <item x="706"/>
        <item x="492"/>
        <item x="640"/>
        <item x="880"/>
        <item x="931"/>
        <item x="39"/>
        <item x="906"/>
        <item x="831"/>
        <item x="952"/>
        <item x="301"/>
        <item x="495"/>
        <item x="803"/>
        <item x="102"/>
        <item x="932"/>
        <item x="725"/>
        <item x="465"/>
        <item x="511"/>
        <item x="752"/>
        <item x="602"/>
        <item x="786"/>
        <item x="249"/>
        <item x="496"/>
        <item x="22"/>
        <item x="204"/>
        <item x="242"/>
        <item x="940"/>
        <item x="999"/>
        <item x="516"/>
        <item x="806"/>
        <item x="265"/>
        <item x="173"/>
        <item x="791"/>
        <item x="761"/>
        <item x="692"/>
        <item x="35"/>
        <item x="15"/>
        <item x="153"/>
        <item x="302"/>
        <item x="504"/>
        <item x="378"/>
        <item x="499"/>
        <item x="459"/>
        <item x="305"/>
        <item x="328"/>
        <item x="370"/>
        <item x="641"/>
        <item x="781"/>
        <item x="163"/>
        <item x="89"/>
        <item x="873"/>
        <item x="74"/>
        <item x="447"/>
        <item x="487"/>
        <item x="726"/>
        <item x="897"/>
        <item x="337"/>
        <item x="748"/>
        <item x="965"/>
        <item x="626"/>
        <item x="894"/>
        <item x="225"/>
        <item x="197"/>
        <item x="973"/>
        <item x="843"/>
        <item x="836"/>
        <item x="721"/>
        <item x="922"/>
        <item x="609"/>
        <item x="852"/>
        <item x="860"/>
        <item x="421"/>
        <item x="970"/>
        <item x="971"/>
        <item x="330"/>
        <item x="556"/>
        <item x="685"/>
        <item x="627"/>
        <item x="739"/>
        <item x="276"/>
        <item x="925"/>
        <item x="269"/>
        <item x="936"/>
        <item x="10"/>
        <item x="118"/>
        <item x="312"/>
        <item x="512"/>
        <item x="597"/>
        <item x="696"/>
        <item x="95"/>
        <item x="332"/>
        <item x="693"/>
        <item x="409"/>
        <item x="346"/>
        <item x="177"/>
        <item x="211"/>
        <item x="40"/>
        <item x="114"/>
        <item x="740"/>
        <item x="75"/>
        <item x="85"/>
        <item x="454"/>
        <item x="515"/>
        <item x="58"/>
        <item x="578"/>
        <item x="214"/>
        <item x="697"/>
        <item x="529"/>
        <item x="847"/>
        <item x="338"/>
        <item x="256"/>
        <item x="727"/>
        <item x="549"/>
        <item x="119"/>
        <item x="371"/>
        <item x="313"/>
        <item x="434"/>
        <item x="250"/>
        <item x="257"/>
        <item x="687"/>
        <item x="461"/>
        <item x="959"/>
        <item x="395"/>
        <item x="741"/>
        <item x="827"/>
        <item x="838"/>
        <item x="469"/>
        <item x="164"/>
        <item x="954"/>
        <item x="839"/>
        <item x="717"/>
        <item x="410"/>
        <item x="133"/>
        <item x="283"/>
        <item x="861"/>
        <item x="271"/>
        <item x="782"/>
        <item x="530"/>
        <item x="856"/>
        <item x="284"/>
        <item x="110"/>
        <item x="953"/>
        <item x="50"/>
        <item x="960"/>
        <item x="537"/>
        <item x="473"/>
        <item x="362"/>
        <item x="98"/>
        <item x="787"/>
        <item x="753"/>
        <item x="41"/>
        <item x="422"/>
        <item x="988"/>
        <item x="61"/>
        <item x="397"/>
        <item x="72"/>
        <item x="990"/>
        <item x="774"/>
        <item x="607"/>
        <item x="435"/>
        <item x="888"/>
        <item x="90"/>
        <item x="218"/>
        <item x="285"/>
        <item x="517"/>
        <item x="215"/>
        <item x="372"/>
        <item x="518"/>
        <item x="16"/>
        <item x="427"/>
        <item x="844"/>
        <item x="521"/>
        <item x="375"/>
        <item x="296"/>
        <item x="178"/>
        <item x="832"/>
        <item x="288"/>
        <item x="612"/>
        <item x="820"/>
        <item x="17"/>
        <item x="728"/>
        <item x="56"/>
        <item x="4"/>
        <item x="53"/>
        <item x="272"/>
        <item x="59"/>
        <item x="594"/>
        <item x="720"/>
        <item x="138"/>
        <item x="673"/>
        <item x="466"/>
        <item x="989"/>
        <item x="688"/>
        <item x="171"/>
        <item x="579"/>
        <item x="763"/>
        <item x="403"/>
        <item x="179"/>
        <item x="967"/>
        <item x="306"/>
        <item x="266"/>
        <item x="417"/>
        <item x="698"/>
        <item x="580"/>
        <item x="851"/>
        <item x="968"/>
        <item x="460"/>
        <item x="277"/>
        <item x="966"/>
        <item x="879"/>
        <item x="711"/>
        <item x="864"/>
        <item x="103"/>
        <item x="355"/>
        <item x="944"/>
        <item x="644"/>
        <item x="398"/>
        <item x="251"/>
        <item x="180"/>
        <item x="585"/>
        <item x="392"/>
        <item x="792"/>
        <item x="237"/>
        <item x="991"/>
        <item x="995"/>
        <item x="567"/>
        <item x="709"/>
        <item x="749"/>
        <item x="754"/>
        <item x="107"/>
        <item x="651"/>
        <item x="531"/>
        <item x="874"/>
        <item x="319"/>
        <item x="29"/>
        <item x="550"/>
        <item x="699"/>
        <item x="488"/>
        <item x="350"/>
        <item x="762"/>
        <item x="243"/>
        <item x="907"/>
        <item x="168"/>
        <item x="91"/>
        <item x="825"/>
        <item x="481"/>
        <item x="281"/>
        <item x="323"/>
        <item x="678"/>
        <item x="62"/>
        <item x="367"/>
        <item x="11"/>
        <item x="187"/>
        <item x="477"/>
        <item x="470"/>
        <item x="315"/>
        <item x="386"/>
        <item x="710"/>
        <item x="76"/>
        <item x="324"/>
        <item x="104"/>
        <item x="198"/>
        <item x="199"/>
        <item x="278"/>
        <item x="77"/>
        <item x="325"/>
        <item x="183"/>
        <item x="770"/>
        <item x="680"/>
        <item x="722"/>
        <item x="150"/>
        <item x="254"/>
        <item x="154"/>
        <item x="273"/>
        <item x="681"/>
        <item x="407"/>
        <item x="896"/>
        <item x="742"/>
        <item x="190"/>
        <item x="86"/>
        <item x="862"/>
        <item x="642"/>
        <item x="44"/>
        <item x="759"/>
        <item x="563"/>
        <item x="81"/>
        <item x="875"/>
        <item x="232"/>
        <item x="783"/>
        <item x="808"/>
        <item x="635"/>
        <item x="462"/>
        <item x="1"/>
        <item x="393"/>
        <item x="731"/>
        <item x="144"/>
        <item x="87"/>
        <item x="498"/>
        <item x="275"/>
        <item x="233"/>
        <item x="505"/>
        <item x="436"/>
        <item x="287"/>
        <item x="519"/>
        <item x="30"/>
        <item x="522"/>
        <item x="326"/>
        <item x="51"/>
        <item x="279"/>
        <item x="590"/>
        <item x="908"/>
        <item x="704"/>
        <item x="297"/>
        <item x="632"/>
        <item x="797"/>
        <item x="145"/>
        <item x="136"/>
        <item x="750"/>
        <item x="945"/>
        <item x="289"/>
        <item x="358"/>
        <item x="36"/>
        <item x="185"/>
        <item x="744"/>
        <item x="146"/>
        <item x="712"/>
        <item x="603"/>
        <item x="876"/>
        <item x="467"/>
        <item x="994"/>
        <item x="316"/>
        <item x="441"/>
        <item x="646"/>
        <item x="643"/>
        <item x="513"/>
        <item x="191"/>
        <item x="598"/>
        <item x="379"/>
        <item x="120"/>
        <item x="411"/>
        <item x="901"/>
        <item x="92"/>
        <item x="623"/>
        <item x="420"/>
        <item x="78"/>
        <item x="713"/>
        <item x="333"/>
        <item t="default"/>
      </items>
    </pivotField>
    <pivotField numFmtId="177" showAll="0">
      <items count="342"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axis="axisRow" sortType="descending" showAll="0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3"/>
        <item x="2"/>
        <item x="0"/>
        <item t="default"/>
      </items>
    </pivotField>
    <pivotField showAll="0">
      <items count="14">
        <item x="4"/>
        <item x="12"/>
        <item x="6"/>
        <item x="7"/>
        <item x="8"/>
        <item x="5"/>
        <item x="2"/>
        <item x="11"/>
        <item x="9"/>
        <item x="10"/>
        <item x="3"/>
        <item x="0"/>
        <item x="1"/>
        <item t="default"/>
      </items>
    </pivotField>
    <pivotField showAll="0"/>
    <pivotField numFmtId="178" showAll="0"/>
    <pivotField numFmtId="178" showAll="0"/>
    <pivotField dataField="1" numFmtId="178" showAll="0"/>
    <pivotField showAll="0">
      <items count="4"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9" showDataAs="percentOfTotal" baseField="0" baseItem="0" numFmtId="179"/>
    <dataField name="Sum of Revenue2" fld="9" baseField="0" baseItem="0" numFmtId="178"/>
  </dataFields>
  <formats count="3">
    <format dxfId="1">
      <pivotArea outline="0" collapsedLevelsAreSubtotals="1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1">
  <location ref="A3:B14" firstHeaderRow="1" firstDataRow="1" firstDataCol="1"/>
  <pivotFields count="13">
    <pivotField showAll="0">
      <items count="1001">
        <item x="981"/>
        <item x="865"/>
        <item x="974"/>
        <item x="209"/>
        <item x="700"/>
        <item x="784"/>
        <item x="705"/>
        <item x="489"/>
        <item x="351"/>
        <item x="124"/>
        <item x="955"/>
        <item x="868"/>
        <item x="775"/>
        <item x="12"/>
        <item x="245"/>
        <item x="619"/>
        <item x="937"/>
        <item x="923"/>
        <item x="83"/>
        <item x="629"/>
        <item x="174"/>
        <item x="816"/>
        <item x="853"/>
        <item x="157"/>
        <item x="258"/>
        <item x="42"/>
        <item x="577"/>
        <item x="290"/>
        <item x="112"/>
        <item x="778"/>
        <item x="307"/>
        <item x="666"/>
        <item x="317"/>
        <item x="229"/>
        <item x="708"/>
        <item x="438"/>
        <item x="840"/>
        <item x="169"/>
        <item x="915"/>
        <item x="975"/>
        <item x="60"/>
        <item x="658"/>
        <item x="79"/>
        <item x="941"/>
        <item x="432"/>
        <item x="734"/>
        <item x="604"/>
        <item x="949"/>
        <item x="768"/>
        <item x="933"/>
        <item x="363"/>
        <item x="793"/>
        <item x="551"/>
        <item x="935"/>
        <item x="52"/>
        <item x="186"/>
        <item x="82"/>
        <item x="718"/>
        <item x="442"/>
        <item x="545"/>
        <item x="909"/>
        <item x="500"/>
        <item x="387"/>
        <item x="63"/>
        <item x="630"/>
        <item x="613"/>
        <item x="719"/>
        <item x="650"/>
        <item x="961"/>
        <item x="779"/>
        <item x="210"/>
        <item x="234"/>
        <item x="399"/>
        <item x="490"/>
        <item x="493"/>
        <item x="669"/>
        <item x="525"/>
        <item x="628"/>
        <item x="339"/>
        <item x="682"/>
        <item x="532"/>
        <item x="45"/>
        <item x="755"/>
        <item x="506"/>
        <item x="455"/>
        <item x="997"/>
        <item x="478"/>
        <item x="68"/>
        <item x="64"/>
        <item x="221"/>
        <item x="48"/>
        <item x="431"/>
        <item x="400"/>
        <item x="382"/>
        <item x="765"/>
        <item x="881"/>
        <item x="804"/>
        <item x="359"/>
        <item x="303"/>
        <item x="858"/>
        <item x="950"/>
        <item x="347"/>
        <item x="383"/>
        <item x="785"/>
        <item x="115"/>
        <item x="610"/>
        <item x="614"/>
        <item x="800"/>
        <item x="926"/>
        <item x="413"/>
        <item x="192"/>
        <item x="449"/>
        <item x="314"/>
        <item x="450"/>
        <item x="771"/>
        <item x="446"/>
        <item x="108"/>
        <item x="636"/>
        <item x="523"/>
        <item x="340"/>
        <item x="689"/>
        <item x="653"/>
        <item x="833"/>
        <item x="344"/>
        <item x="776"/>
        <item x="193"/>
        <item x="902"/>
        <item x="23"/>
        <item x="205"/>
        <item x="918"/>
        <item x="308"/>
        <item x="5"/>
        <item x="137"/>
        <item x="540"/>
        <item x="348"/>
        <item x="979"/>
        <item x="494"/>
        <item x="219"/>
        <item x="428"/>
        <item x="105"/>
        <item x="882"/>
        <item x="564"/>
        <item x="406"/>
        <item x="620"/>
        <item x="546"/>
        <item x="732"/>
        <item x="869"/>
        <item x="571"/>
        <item x="956"/>
        <item x="116"/>
        <item x="341"/>
        <item x="647"/>
        <item x="910"/>
        <item x="801"/>
        <item x="216"/>
        <item x="270"/>
        <item x="565"/>
        <item x="714"/>
        <item x="788"/>
        <item x="996"/>
        <item x="581"/>
        <item x="13"/>
        <item x="129"/>
        <item x="238"/>
        <item x="916"/>
        <item x="388"/>
        <item x="615"/>
        <item x="155"/>
        <item x="980"/>
        <item x="54"/>
        <item x="342"/>
        <item x="175"/>
        <item x="501"/>
        <item x="780"/>
        <item x="69"/>
        <item x="547"/>
        <item x="280"/>
        <item x="942"/>
        <item x="130"/>
        <item x="586"/>
        <item x="121"/>
        <item x="226"/>
        <item x="848"/>
        <item x="582"/>
        <item x="334"/>
        <item x="735"/>
        <item x="608"/>
        <item x="599"/>
        <item x="802"/>
        <item x="227"/>
        <item x="21"/>
        <item x="962"/>
        <item x="456"/>
        <item x="834"/>
        <item x="870"/>
        <item x="423"/>
        <item x="520"/>
        <item x="533"/>
        <item x="241"/>
        <item x="683"/>
        <item x="380"/>
        <item x="539"/>
        <item x="807"/>
        <item x="764"/>
        <item x="298"/>
        <item x="352"/>
        <item x="587"/>
        <item x="507"/>
        <item x="360"/>
        <item x="670"/>
        <item x="18"/>
        <item x="992"/>
        <item x="591"/>
        <item x="134"/>
        <item x="125"/>
        <item x="385"/>
        <item x="885"/>
        <item x="723"/>
        <item x="772"/>
        <item x="849"/>
        <item x="49"/>
        <item x="886"/>
        <item x="364"/>
        <item x="176"/>
        <item x="335"/>
        <item x="99"/>
        <item x="96"/>
        <item x="568"/>
        <item x="453"/>
        <item x="172"/>
        <item x="309"/>
        <item x="701"/>
        <item x="37"/>
        <item x="440"/>
        <item x="70"/>
        <item x="951"/>
        <item x="919"/>
        <item x="534"/>
        <item x="828"/>
        <item x="826"/>
        <item x="985"/>
        <item x="263"/>
        <item x="482"/>
        <item x="139"/>
        <item x="356"/>
        <item x="404"/>
        <item x="911"/>
        <item x="835"/>
        <item x="463"/>
        <item x="877"/>
        <item x="401"/>
        <item x="439"/>
        <item x="552"/>
        <item x="921"/>
        <item x="471"/>
        <item x="57"/>
        <item x="946"/>
        <item x="188"/>
        <item x="690"/>
        <item x="605"/>
        <item x="149"/>
        <item x="616"/>
        <item x="751"/>
        <item x="811"/>
        <item x="468"/>
        <item x="555"/>
        <item x="947"/>
        <item x="617"/>
        <item x="414"/>
        <item x="402"/>
        <item x="264"/>
        <item x="156"/>
        <item x="817"/>
        <item x="299"/>
        <item x="252"/>
        <item x="917"/>
        <item x="353"/>
        <item x="2"/>
        <item x="983"/>
        <item x="887"/>
        <item x="267"/>
        <item x="694"/>
        <item x="255"/>
        <item x="674"/>
        <item x="152"/>
        <item x="349"/>
        <item x="126"/>
        <item x="384"/>
        <item x="497"/>
        <item x="969"/>
        <item x="140"/>
        <item x="373"/>
        <item x="291"/>
        <item x="890"/>
        <item x="6"/>
        <item x="479"/>
        <item x="46"/>
        <item x="924"/>
        <item x="595"/>
        <item x="526"/>
        <item x="557"/>
        <item x="161"/>
        <item x="109"/>
        <item x="106"/>
        <item x="483"/>
        <item x="733"/>
        <item x="871"/>
        <item x="73"/>
        <item x="798"/>
        <item x="389"/>
        <item x="381"/>
        <item x="675"/>
        <item x="730"/>
        <item x="600"/>
        <item x="724"/>
        <item x="472"/>
        <item x="596"/>
        <item x="394"/>
        <item x="415"/>
        <item x="457"/>
        <item x="878"/>
        <item x="818"/>
        <item x="9"/>
        <item x="984"/>
        <item x="854"/>
        <item x="667"/>
        <item x="855"/>
        <item x="809"/>
        <item x="662"/>
        <item x="268"/>
        <item x="451"/>
        <item x="648"/>
        <item x="508"/>
        <item x="184"/>
        <item x="235"/>
        <item x="24"/>
        <item x="927"/>
        <item x="963"/>
        <item x="239"/>
        <item x="592"/>
        <item x="837"/>
        <item x="458"/>
        <item x="475"/>
        <item x="898"/>
        <item x="541"/>
        <item x="566"/>
        <item x="31"/>
        <item x="141"/>
        <item x="903"/>
        <item x="977"/>
        <item x="972"/>
        <item x="484"/>
        <item x="47"/>
        <item x="196"/>
        <item x="97"/>
        <item x="293"/>
        <item x="637"/>
        <item x="27"/>
        <item x="368"/>
        <item x="65"/>
        <item x="572"/>
        <item x="485"/>
        <item x="671"/>
        <item x="343"/>
        <item x="558"/>
        <item x="424"/>
        <item x="374"/>
        <item x="228"/>
        <item x="396"/>
        <item x="569"/>
        <item x="503"/>
        <item x="117"/>
        <item x="142"/>
        <item x="165"/>
        <item x="207"/>
        <item x="93"/>
        <item x="300"/>
        <item x="320"/>
        <item x="912"/>
        <item x="321"/>
        <item x="553"/>
        <item x="829"/>
        <item x="663"/>
        <item x="812"/>
        <item x="652"/>
        <item x="736"/>
        <item x="561"/>
        <item x="664"/>
        <item x="601"/>
        <item x="593"/>
        <item x="631"/>
        <item x="437"/>
        <item x="222"/>
        <item x="230"/>
        <item x="830"/>
        <item x="217"/>
        <item x="292"/>
        <item x="331"/>
        <item x="538"/>
        <item x="166"/>
        <item x="7"/>
        <item x="527"/>
        <item x="33"/>
        <item x="84"/>
        <item x="181"/>
        <item x="805"/>
        <item x="737"/>
        <item x="418"/>
        <item x="929"/>
        <item x="71"/>
        <item x="354"/>
        <item x="147"/>
        <item x="686"/>
        <item x="544"/>
        <item x="588"/>
        <item x="443"/>
        <item x="899"/>
        <item x="707"/>
        <item x="819"/>
        <item x="659"/>
        <item x="948"/>
        <item x="872"/>
        <item x="429"/>
        <item x="589"/>
        <item x="94"/>
        <item x="760"/>
        <item x="743"/>
        <item x="202"/>
        <item x="111"/>
        <item x="618"/>
        <item x="100"/>
        <item x="576"/>
        <item x="405"/>
        <item x="745"/>
        <item x="638"/>
        <item x="535"/>
        <item x="639"/>
        <item x="66"/>
        <item x="38"/>
        <item x="113"/>
        <item x="823"/>
        <item x="416"/>
        <item x="654"/>
        <item x="259"/>
        <item x="930"/>
        <item x="773"/>
        <item x="182"/>
        <item x="365"/>
        <item x="212"/>
        <item x="444"/>
        <item x="957"/>
        <item x="920"/>
        <item x="821"/>
        <item x="464"/>
        <item x="88"/>
        <item x="260"/>
        <item x="574"/>
        <item x="253"/>
        <item x="794"/>
        <item x="976"/>
        <item x="665"/>
        <item x="376"/>
        <item x="964"/>
        <item x="938"/>
        <item x="189"/>
        <item x="810"/>
        <item x="611"/>
        <item x="131"/>
        <item x="509"/>
        <item x="25"/>
        <item x="746"/>
        <item x="8"/>
        <item x="412"/>
        <item x="645"/>
        <item x="474"/>
        <item x="624"/>
        <item x="913"/>
        <item x="327"/>
        <item x="738"/>
        <item x="660"/>
        <item x="668"/>
        <item x="246"/>
        <item x="282"/>
        <item x="542"/>
        <item x="208"/>
        <item x="223"/>
        <item x="799"/>
        <item x="294"/>
        <item x="310"/>
        <item x="766"/>
        <item x="747"/>
        <item x="904"/>
        <item x="122"/>
        <item x="702"/>
        <item x="80"/>
        <item x="987"/>
        <item x="986"/>
        <item x="859"/>
        <item x="135"/>
        <item x="900"/>
        <item x="26"/>
        <item x="883"/>
        <item x="939"/>
        <item x="295"/>
        <item x="261"/>
        <item x="621"/>
        <item x="756"/>
        <item x="0"/>
        <item x="203"/>
        <item x="813"/>
        <item x="943"/>
        <item x="151"/>
        <item x="978"/>
        <item x="491"/>
        <item x="891"/>
        <item x="895"/>
        <item x="452"/>
        <item x="562"/>
        <item x="889"/>
        <item x="866"/>
        <item x="158"/>
        <item x="419"/>
        <item x="200"/>
        <item x="814"/>
        <item x="928"/>
        <item x="322"/>
        <item x="162"/>
        <item x="570"/>
        <item x="536"/>
        <item x="573"/>
        <item x="554"/>
        <item x="194"/>
        <item x="480"/>
        <item x="43"/>
        <item x="390"/>
        <item x="55"/>
        <item x="649"/>
        <item x="914"/>
        <item x="247"/>
        <item x="486"/>
        <item x="857"/>
        <item x="101"/>
        <item x="528"/>
        <item x="695"/>
        <item x="377"/>
        <item x="510"/>
        <item x="892"/>
        <item x="514"/>
        <item x="329"/>
        <item x="543"/>
        <item x="982"/>
        <item x="661"/>
        <item x="213"/>
        <item x="123"/>
        <item x="445"/>
        <item x="167"/>
        <item x="715"/>
        <item x="244"/>
        <item x="850"/>
        <item x="159"/>
        <item x="502"/>
        <item x="143"/>
        <item x="845"/>
        <item x="28"/>
        <item x="195"/>
        <item x="220"/>
        <item x="548"/>
        <item x="318"/>
        <item x="425"/>
        <item x="311"/>
        <item x="583"/>
        <item x="767"/>
        <item x="231"/>
        <item x="240"/>
        <item x="236"/>
        <item x="575"/>
        <item x="391"/>
        <item x="3"/>
        <item x="716"/>
        <item x="160"/>
        <item x="584"/>
        <item x="822"/>
        <item x="14"/>
        <item x="655"/>
        <item x="127"/>
        <item x="433"/>
        <item x="366"/>
        <item x="357"/>
        <item x="248"/>
        <item x="625"/>
        <item x="206"/>
        <item x="958"/>
        <item x="789"/>
        <item x="34"/>
        <item x="884"/>
        <item x="67"/>
        <item x="19"/>
        <item x="998"/>
        <item x="274"/>
        <item x="841"/>
        <item x="679"/>
        <item x="867"/>
        <item x="824"/>
        <item x="148"/>
        <item x="128"/>
        <item x="703"/>
        <item x="170"/>
        <item x="815"/>
        <item x="224"/>
        <item x="32"/>
        <item x="448"/>
        <item x="304"/>
        <item x="262"/>
        <item x="201"/>
        <item x="336"/>
        <item x="633"/>
        <item x="286"/>
        <item x="408"/>
        <item x="606"/>
        <item x="795"/>
        <item x="559"/>
        <item x="656"/>
        <item x="560"/>
        <item x="842"/>
        <item x="777"/>
        <item x="769"/>
        <item x="846"/>
        <item x="634"/>
        <item x="361"/>
        <item x="476"/>
        <item x="684"/>
        <item x="657"/>
        <item x="757"/>
        <item x="691"/>
        <item x="622"/>
        <item x="758"/>
        <item x="345"/>
        <item x="993"/>
        <item x="132"/>
        <item x="729"/>
        <item x="426"/>
        <item x="524"/>
        <item x="863"/>
        <item x="934"/>
        <item x="677"/>
        <item x="893"/>
        <item x="905"/>
        <item x="672"/>
        <item x="20"/>
        <item x="676"/>
        <item x="796"/>
        <item x="430"/>
        <item x="369"/>
        <item x="790"/>
        <item x="706"/>
        <item x="492"/>
        <item x="640"/>
        <item x="880"/>
        <item x="931"/>
        <item x="39"/>
        <item x="906"/>
        <item x="831"/>
        <item x="952"/>
        <item x="301"/>
        <item x="495"/>
        <item x="803"/>
        <item x="102"/>
        <item x="932"/>
        <item x="725"/>
        <item x="465"/>
        <item x="511"/>
        <item x="752"/>
        <item x="602"/>
        <item x="786"/>
        <item x="249"/>
        <item x="496"/>
        <item x="22"/>
        <item x="204"/>
        <item x="242"/>
        <item x="940"/>
        <item x="999"/>
        <item x="516"/>
        <item x="806"/>
        <item x="265"/>
        <item x="173"/>
        <item x="791"/>
        <item x="761"/>
        <item x="692"/>
        <item x="35"/>
        <item x="15"/>
        <item x="153"/>
        <item x="302"/>
        <item x="504"/>
        <item x="378"/>
        <item x="499"/>
        <item x="459"/>
        <item x="305"/>
        <item x="328"/>
        <item x="370"/>
        <item x="641"/>
        <item x="781"/>
        <item x="163"/>
        <item x="89"/>
        <item x="873"/>
        <item x="74"/>
        <item x="447"/>
        <item x="487"/>
        <item x="726"/>
        <item x="897"/>
        <item x="337"/>
        <item x="748"/>
        <item x="965"/>
        <item x="626"/>
        <item x="894"/>
        <item x="225"/>
        <item x="197"/>
        <item x="973"/>
        <item x="843"/>
        <item x="836"/>
        <item x="721"/>
        <item x="922"/>
        <item x="609"/>
        <item x="852"/>
        <item x="860"/>
        <item x="421"/>
        <item x="970"/>
        <item x="971"/>
        <item x="330"/>
        <item x="556"/>
        <item x="685"/>
        <item x="627"/>
        <item x="739"/>
        <item x="276"/>
        <item x="925"/>
        <item x="269"/>
        <item x="936"/>
        <item x="10"/>
        <item x="118"/>
        <item x="312"/>
        <item x="512"/>
        <item x="597"/>
        <item x="696"/>
        <item x="95"/>
        <item x="332"/>
        <item x="693"/>
        <item x="409"/>
        <item x="346"/>
        <item x="177"/>
        <item x="211"/>
        <item x="40"/>
        <item x="114"/>
        <item x="740"/>
        <item x="75"/>
        <item x="85"/>
        <item x="454"/>
        <item x="515"/>
        <item x="58"/>
        <item x="578"/>
        <item x="214"/>
        <item x="697"/>
        <item x="529"/>
        <item x="847"/>
        <item x="338"/>
        <item x="256"/>
        <item x="727"/>
        <item x="549"/>
        <item x="119"/>
        <item x="371"/>
        <item x="313"/>
        <item x="434"/>
        <item x="250"/>
        <item x="257"/>
        <item x="687"/>
        <item x="461"/>
        <item x="959"/>
        <item x="395"/>
        <item x="741"/>
        <item x="827"/>
        <item x="838"/>
        <item x="469"/>
        <item x="164"/>
        <item x="954"/>
        <item x="839"/>
        <item x="717"/>
        <item x="410"/>
        <item x="133"/>
        <item x="283"/>
        <item x="861"/>
        <item x="271"/>
        <item x="782"/>
        <item x="530"/>
        <item x="856"/>
        <item x="284"/>
        <item x="110"/>
        <item x="953"/>
        <item x="50"/>
        <item x="960"/>
        <item x="537"/>
        <item x="473"/>
        <item x="362"/>
        <item x="98"/>
        <item x="787"/>
        <item x="753"/>
        <item x="41"/>
        <item x="422"/>
        <item x="988"/>
        <item x="61"/>
        <item x="397"/>
        <item x="72"/>
        <item x="990"/>
        <item x="774"/>
        <item x="607"/>
        <item x="435"/>
        <item x="888"/>
        <item x="90"/>
        <item x="218"/>
        <item x="285"/>
        <item x="517"/>
        <item x="215"/>
        <item x="372"/>
        <item x="518"/>
        <item x="16"/>
        <item x="427"/>
        <item x="844"/>
        <item x="521"/>
        <item x="375"/>
        <item x="296"/>
        <item x="178"/>
        <item x="832"/>
        <item x="288"/>
        <item x="612"/>
        <item x="820"/>
        <item x="17"/>
        <item x="728"/>
        <item x="56"/>
        <item x="4"/>
        <item x="53"/>
        <item x="272"/>
        <item x="59"/>
        <item x="594"/>
        <item x="720"/>
        <item x="138"/>
        <item x="673"/>
        <item x="466"/>
        <item x="989"/>
        <item x="688"/>
        <item x="171"/>
        <item x="579"/>
        <item x="763"/>
        <item x="403"/>
        <item x="179"/>
        <item x="967"/>
        <item x="306"/>
        <item x="266"/>
        <item x="417"/>
        <item x="698"/>
        <item x="580"/>
        <item x="851"/>
        <item x="968"/>
        <item x="460"/>
        <item x="277"/>
        <item x="966"/>
        <item x="879"/>
        <item x="711"/>
        <item x="864"/>
        <item x="103"/>
        <item x="355"/>
        <item x="944"/>
        <item x="644"/>
        <item x="398"/>
        <item x="251"/>
        <item x="180"/>
        <item x="585"/>
        <item x="392"/>
        <item x="792"/>
        <item x="237"/>
        <item x="991"/>
        <item x="995"/>
        <item x="567"/>
        <item x="709"/>
        <item x="749"/>
        <item x="754"/>
        <item x="107"/>
        <item x="651"/>
        <item x="531"/>
        <item x="874"/>
        <item x="319"/>
        <item x="29"/>
        <item x="550"/>
        <item x="699"/>
        <item x="488"/>
        <item x="350"/>
        <item x="762"/>
        <item x="243"/>
        <item x="907"/>
        <item x="168"/>
        <item x="91"/>
        <item x="825"/>
        <item x="481"/>
        <item x="281"/>
        <item x="323"/>
        <item x="678"/>
        <item x="62"/>
        <item x="367"/>
        <item x="11"/>
        <item x="187"/>
        <item x="477"/>
        <item x="470"/>
        <item x="315"/>
        <item x="386"/>
        <item x="710"/>
        <item x="76"/>
        <item x="324"/>
        <item x="104"/>
        <item x="198"/>
        <item x="199"/>
        <item x="278"/>
        <item x="77"/>
        <item x="325"/>
        <item x="183"/>
        <item x="770"/>
        <item x="680"/>
        <item x="722"/>
        <item x="150"/>
        <item x="254"/>
        <item x="154"/>
        <item x="273"/>
        <item x="681"/>
        <item x="407"/>
        <item x="896"/>
        <item x="742"/>
        <item x="190"/>
        <item x="86"/>
        <item x="862"/>
        <item x="642"/>
        <item x="44"/>
        <item x="759"/>
        <item x="563"/>
        <item x="81"/>
        <item x="875"/>
        <item x="232"/>
        <item x="783"/>
        <item x="808"/>
        <item x="635"/>
        <item x="462"/>
        <item x="1"/>
        <item x="393"/>
        <item x="731"/>
        <item x="144"/>
        <item x="87"/>
        <item x="498"/>
        <item x="275"/>
        <item x="233"/>
        <item x="505"/>
        <item x="436"/>
        <item x="287"/>
        <item x="519"/>
        <item x="30"/>
        <item x="522"/>
        <item x="326"/>
        <item x="51"/>
        <item x="279"/>
        <item x="590"/>
        <item x="908"/>
        <item x="704"/>
        <item x="297"/>
        <item x="632"/>
        <item x="797"/>
        <item x="145"/>
        <item x="136"/>
        <item x="750"/>
        <item x="945"/>
        <item x="289"/>
        <item x="358"/>
        <item x="36"/>
        <item x="185"/>
        <item x="744"/>
        <item x="146"/>
        <item x="712"/>
        <item x="603"/>
        <item x="876"/>
        <item x="467"/>
        <item x="994"/>
        <item x="316"/>
        <item x="441"/>
        <item x="646"/>
        <item x="643"/>
        <item x="513"/>
        <item x="191"/>
        <item x="598"/>
        <item x="379"/>
        <item x="120"/>
        <item x="411"/>
        <item x="901"/>
        <item x="92"/>
        <item x="623"/>
        <item x="420"/>
        <item x="78"/>
        <item x="713"/>
        <item x="333"/>
        <item t="default"/>
      </items>
    </pivotField>
    <pivotField numFmtId="177" showAll="0">
      <items count="342"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axis="axisRow" measureFilter="1" sortType="ascending" showAll="0">
      <items count="14">
        <item x="4"/>
        <item x="12"/>
        <item x="6"/>
        <item x="7"/>
        <item x="8"/>
        <item x="5"/>
        <item x="2"/>
        <item x="11"/>
        <item x="9"/>
        <item x="10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78" showAll="0"/>
    <pivotField numFmtId="178" showAll="0"/>
    <pivotField numFmtId="178" showAll="0"/>
    <pivotField showAll="0">
      <items count="4"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 v="3"/>
    </i>
    <i>
      <x v="5"/>
    </i>
    <i>
      <x/>
    </i>
    <i>
      <x v="1"/>
    </i>
    <i>
      <x v="12"/>
    </i>
    <i>
      <x v="10"/>
    </i>
    <i>
      <x v="6"/>
    </i>
    <i>
      <x v="11"/>
    </i>
    <i>
      <x v="4"/>
    </i>
    <i>
      <x v="9"/>
    </i>
    <i t="grand">
      <x/>
    </i>
  </rowItems>
  <colItems count="1">
    <i/>
  </colItems>
  <dataFields count="1">
    <dataField name="Sum of Quantity" fld="6" baseField="0" baseItem="0"/>
  </dataFields>
  <pivotTableStyleInfo name="PivotStyleLight16" showRowHeaders="1" showColHeaders="1" showLastColumn="1"/>
  <filters count="1">
    <filter evalOrder="-1" fld="5" iMeasureFld="0" id="175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8">
  <location ref="A3:B7" firstHeaderRow="1" firstDataRow="1" firstDataCol="1"/>
  <pivotFields count="13">
    <pivotField dataField="1" showAll="0">
      <items count="1001">
        <item x="981"/>
        <item x="865"/>
        <item x="974"/>
        <item x="209"/>
        <item x="700"/>
        <item x="784"/>
        <item x="705"/>
        <item x="489"/>
        <item x="351"/>
        <item x="124"/>
        <item x="955"/>
        <item x="868"/>
        <item x="775"/>
        <item x="12"/>
        <item x="245"/>
        <item x="619"/>
        <item x="937"/>
        <item x="923"/>
        <item x="83"/>
        <item x="629"/>
        <item x="174"/>
        <item x="816"/>
        <item x="853"/>
        <item x="157"/>
        <item x="258"/>
        <item x="42"/>
        <item x="577"/>
        <item x="290"/>
        <item x="112"/>
        <item x="778"/>
        <item x="307"/>
        <item x="666"/>
        <item x="317"/>
        <item x="229"/>
        <item x="708"/>
        <item x="438"/>
        <item x="840"/>
        <item x="169"/>
        <item x="915"/>
        <item x="975"/>
        <item x="60"/>
        <item x="658"/>
        <item x="79"/>
        <item x="941"/>
        <item x="432"/>
        <item x="734"/>
        <item x="604"/>
        <item x="949"/>
        <item x="768"/>
        <item x="933"/>
        <item x="363"/>
        <item x="793"/>
        <item x="551"/>
        <item x="935"/>
        <item x="52"/>
        <item x="186"/>
        <item x="82"/>
        <item x="718"/>
        <item x="442"/>
        <item x="545"/>
        <item x="909"/>
        <item x="500"/>
        <item x="387"/>
        <item x="63"/>
        <item x="630"/>
        <item x="613"/>
        <item x="719"/>
        <item x="650"/>
        <item x="961"/>
        <item x="779"/>
        <item x="210"/>
        <item x="234"/>
        <item x="399"/>
        <item x="490"/>
        <item x="493"/>
        <item x="669"/>
        <item x="525"/>
        <item x="628"/>
        <item x="339"/>
        <item x="682"/>
        <item x="532"/>
        <item x="45"/>
        <item x="755"/>
        <item x="506"/>
        <item x="455"/>
        <item x="997"/>
        <item x="478"/>
        <item x="68"/>
        <item x="64"/>
        <item x="221"/>
        <item x="48"/>
        <item x="431"/>
        <item x="400"/>
        <item x="382"/>
        <item x="765"/>
        <item x="881"/>
        <item x="804"/>
        <item x="359"/>
        <item x="303"/>
        <item x="858"/>
        <item x="950"/>
        <item x="347"/>
        <item x="383"/>
        <item x="785"/>
        <item x="115"/>
        <item x="610"/>
        <item x="614"/>
        <item x="800"/>
        <item x="926"/>
        <item x="413"/>
        <item x="192"/>
        <item x="449"/>
        <item x="314"/>
        <item x="450"/>
        <item x="771"/>
        <item x="446"/>
        <item x="108"/>
        <item x="636"/>
        <item x="523"/>
        <item x="340"/>
        <item x="689"/>
        <item x="653"/>
        <item x="833"/>
        <item x="344"/>
        <item x="776"/>
        <item x="193"/>
        <item x="902"/>
        <item x="23"/>
        <item x="205"/>
        <item x="918"/>
        <item x="308"/>
        <item x="5"/>
        <item x="137"/>
        <item x="540"/>
        <item x="348"/>
        <item x="979"/>
        <item x="494"/>
        <item x="219"/>
        <item x="428"/>
        <item x="105"/>
        <item x="882"/>
        <item x="564"/>
        <item x="406"/>
        <item x="620"/>
        <item x="546"/>
        <item x="732"/>
        <item x="869"/>
        <item x="571"/>
        <item x="956"/>
        <item x="116"/>
        <item x="341"/>
        <item x="647"/>
        <item x="910"/>
        <item x="801"/>
        <item x="216"/>
        <item x="270"/>
        <item x="565"/>
        <item x="714"/>
        <item x="788"/>
        <item x="996"/>
        <item x="581"/>
        <item x="13"/>
        <item x="129"/>
        <item x="238"/>
        <item x="916"/>
        <item x="388"/>
        <item x="615"/>
        <item x="155"/>
        <item x="980"/>
        <item x="54"/>
        <item x="342"/>
        <item x="175"/>
        <item x="501"/>
        <item x="780"/>
        <item x="69"/>
        <item x="547"/>
        <item x="280"/>
        <item x="942"/>
        <item x="130"/>
        <item x="586"/>
        <item x="121"/>
        <item x="226"/>
        <item x="848"/>
        <item x="582"/>
        <item x="334"/>
        <item x="735"/>
        <item x="608"/>
        <item x="599"/>
        <item x="802"/>
        <item x="227"/>
        <item x="21"/>
        <item x="962"/>
        <item x="456"/>
        <item x="834"/>
        <item x="870"/>
        <item x="423"/>
        <item x="520"/>
        <item x="533"/>
        <item x="241"/>
        <item x="683"/>
        <item x="380"/>
        <item x="539"/>
        <item x="807"/>
        <item x="764"/>
        <item x="298"/>
        <item x="352"/>
        <item x="587"/>
        <item x="507"/>
        <item x="360"/>
        <item x="670"/>
        <item x="18"/>
        <item x="992"/>
        <item x="591"/>
        <item x="134"/>
        <item x="125"/>
        <item x="385"/>
        <item x="885"/>
        <item x="723"/>
        <item x="772"/>
        <item x="849"/>
        <item x="49"/>
        <item x="886"/>
        <item x="364"/>
        <item x="176"/>
        <item x="335"/>
        <item x="99"/>
        <item x="96"/>
        <item x="568"/>
        <item x="453"/>
        <item x="172"/>
        <item x="309"/>
        <item x="701"/>
        <item x="37"/>
        <item x="440"/>
        <item x="70"/>
        <item x="951"/>
        <item x="919"/>
        <item x="534"/>
        <item x="828"/>
        <item x="826"/>
        <item x="985"/>
        <item x="263"/>
        <item x="482"/>
        <item x="139"/>
        <item x="356"/>
        <item x="404"/>
        <item x="911"/>
        <item x="835"/>
        <item x="463"/>
        <item x="877"/>
        <item x="401"/>
        <item x="439"/>
        <item x="552"/>
        <item x="921"/>
        <item x="471"/>
        <item x="57"/>
        <item x="946"/>
        <item x="188"/>
        <item x="690"/>
        <item x="605"/>
        <item x="149"/>
        <item x="616"/>
        <item x="751"/>
        <item x="811"/>
        <item x="468"/>
        <item x="555"/>
        <item x="947"/>
        <item x="617"/>
        <item x="414"/>
        <item x="402"/>
        <item x="264"/>
        <item x="156"/>
        <item x="817"/>
        <item x="299"/>
        <item x="252"/>
        <item x="917"/>
        <item x="353"/>
        <item x="2"/>
        <item x="983"/>
        <item x="887"/>
        <item x="267"/>
        <item x="694"/>
        <item x="255"/>
        <item x="674"/>
        <item x="152"/>
        <item x="349"/>
        <item x="126"/>
        <item x="384"/>
        <item x="497"/>
        <item x="969"/>
        <item x="140"/>
        <item x="373"/>
        <item x="291"/>
        <item x="890"/>
        <item x="6"/>
        <item x="479"/>
        <item x="46"/>
        <item x="924"/>
        <item x="595"/>
        <item x="526"/>
        <item x="557"/>
        <item x="161"/>
        <item x="109"/>
        <item x="106"/>
        <item x="483"/>
        <item x="733"/>
        <item x="871"/>
        <item x="73"/>
        <item x="798"/>
        <item x="389"/>
        <item x="381"/>
        <item x="675"/>
        <item x="730"/>
        <item x="600"/>
        <item x="724"/>
        <item x="472"/>
        <item x="596"/>
        <item x="394"/>
        <item x="415"/>
        <item x="457"/>
        <item x="878"/>
        <item x="818"/>
        <item x="9"/>
        <item x="984"/>
        <item x="854"/>
        <item x="667"/>
        <item x="855"/>
        <item x="809"/>
        <item x="662"/>
        <item x="268"/>
        <item x="451"/>
        <item x="648"/>
        <item x="508"/>
        <item x="184"/>
        <item x="235"/>
        <item x="24"/>
        <item x="927"/>
        <item x="963"/>
        <item x="239"/>
        <item x="592"/>
        <item x="837"/>
        <item x="458"/>
        <item x="475"/>
        <item x="898"/>
        <item x="541"/>
        <item x="566"/>
        <item x="31"/>
        <item x="141"/>
        <item x="903"/>
        <item x="977"/>
        <item x="972"/>
        <item x="484"/>
        <item x="47"/>
        <item x="196"/>
        <item x="97"/>
        <item x="293"/>
        <item x="637"/>
        <item x="27"/>
        <item x="368"/>
        <item x="65"/>
        <item x="572"/>
        <item x="485"/>
        <item x="671"/>
        <item x="343"/>
        <item x="558"/>
        <item x="424"/>
        <item x="374"/>
        <item x="228"/>
        <item x="396"/>
        <item x="569"/>
        <item x="503"/>
        <item x="117"/>
        <item x="142"/>
        <item x="165"/>
        <item x="207"/>
        <item x="93"/>
        <item x="300"/>
        <item x="320"/>
        <item x="912"/>
        <item x="321"/>
        <item x="553"/>
        <item x="829"/>
        <item x="663"/>
        <item x="812"/>
        <item x="652"/>
        <item x="736"/>
        <item x="561"/>
        <item x="664"/>
        <item x="601"/>
        <item x="593"/>
        <item x="631"/>
        <item x="437"/>
        <item x="222"/>
        <item x="230"/>
        <item x="830"/>
        <item x="217"/>
        <item x="292"/>
        <item x="331"/>
        <item x="538"/>
        <item x="166"/>
        <item x="7"/>
        <item x="527"/>
        <item x="33"/>
        <item x="84"/>
        <item x="181"/>
        <item x="805"/>
        <item x="737"/>
        <item x="418"/>
        <item x="929"/>
        <item x="71"/>
        <item x="354"/>
        <item x="147"/>
        <item x="686"/>
        <item x="544"/>
        <item x="588"/>
        <item x="443"/>
        <item x="899"/>
        <item x="707"/>
        <item x="819"/>
        <item x="659"/>
        <item x="948"/>
        <item x="872"/>
        <item x="429"/>
        <item x="589"/>
        <item x="94"/>
        <item x="760"/>
        <item x="743"/>
        <item x="202"/>
        <item x="111"/>
        <item x="618"/>
        <item x="100"/>
        <item x="576"/>
        <item x="405"/>
        <item x="745"/>
        <item x="638"/>
        <item x="535"/>
        <item x="639"/>
        <item x="66"/>
        <item x="38"/>
        <item x="113"/>
        <item x="823"/>
        <item x="416"/>
        <item x="654"/>
        <item x="259"/>
        <item x="930"/>
        <item x="773"/>
        <item x="182"/>
        <item x="365"/>
        <item x="212"/>
        <item x="444"/>
        <item x="957"/>
        <item x="920"/>
        <item x="821"/>
        <item x="464"/>
        <item x="88"/>
        <item x="260"/>
        <item x="574"/>
        <item x="253"/>
        <item x="794"/>
        <item x="976"/>
        <item x="665"/>
        <item x="376"/>
        <item x="964"/>
        <item x="938"/>
        <item x="189"/>
        <item x="810"/>
        <item x="611"/>
        <item x="131"/>
        <item x="509"/>
        <item x="25"/>
        <item x="746"/>
        <item x="8"/>
        <item x="412"/>
        <item x="645"/>
        <item x="474"/>
        <item x="624"/>
        <item x="913"/>
        <item x="327"/>
        <item x="738"/>
        <item x="660"/>
        <item x="668"/>
        <item x="246"/>
        <item x="282"/>
        <item x="542"/>
        <item x="208"/>
        <item x="223"/>
        <item x="799"/>
        <item x="294"/>
        <item x="310"/>
        <item x="766"/>
        <item x="747"/>
        <item x="904"/>
        <item x="122"/>
        <item x="702"/>
        <item x="80"/>
        <item x="987"/>
        <item x="986"/>
        <item x="859"/>
        <item x="135"/>
        <item x="900"/>
        <item x="26"/>
        <item x="883"/>
        <item x="939"/>
        <item x="295"/>
        <item x="261"/>
        <item x="621"/>
        <item x="756"/>
        <item x="0"/>
        <item x="203"/>
        <item x="813"/>
        <item x="943"/>
        <item x="151"/>
        <item x="978"/>
        <item x="491"/>
        <item x="891"/>
        <item x="895"/>
        <item x="452"/>
        <item x="562"/>
        <item x="889"/>
        <item x="866"/>
        <item x="158"/>
        <item x="419"/>
        <item x="200"/>
        <item x="814"/>
        <item x="928"/>
        <item x="322"/>
        <item x="162"/>
        <item x="570"/>
        <item x="536"/>
        <item x="573"/>
        <item x="554"/>
        <item x="194"/>
        <item x="480"/>
        <item x="43"/>
        <item x="390"/>
        <item x="55"/>
        <item x="649"/>
        <item x="914"/>
        <item x="247"/>
        <item x="486"/>
        <item x="857"/>
        <item x="101"/>
        <item x="528"/>
        <item x="695"/>
        <item x="377"/>
        <item x="510"/>
        <item x="892"/>
        <item x="514"/>
        <item x="329"/>
        <item x="543"/>
        <item x="982"/>
        <item x="661"/>
        <item x="213"/>
        <item x="123"/>
        <item x="445"/>
        <item x="167"/>
        <item x="715"/>
        <item x="244"/>
        <item x="850"/>
        <item x="159"/>
        <item x="502"/>
        <item x="143"/>
        <item x="845"/>
        <item x="28"/>
        <item x="195"/>
        <item x="220"/>
        <item x="548"/>
        <item x="318"/>
        <item x="425"/>
        <item x="311"/>
        <item x="583"/>
        <item x="767"/>
        <item x="231"/>
        <item x="240"/>
        <item x="236"/>
        <item x="575"/>
        <item x="391"/>
        <item x="3"/>
        <item x="716"/>
        <item x="160"/>
        <item x="584"/>
        <item x="822"/>
        <item x="14"/>
        <item x="655"/>
        <item x="127"/>
        <item x="433"/>
        <item x="366"/>
        <item x="357"/>
        <item x="248"/>
        <item x="625"/>
        <item x="206"/>
        <item x="958"/>
        <item x="789"/>
        <item x="34"/>
        <item x="884"/>
        <item x="67"/>
        <item x="19"/>
        <item x="998"/>
        <item x="274"/>
        <item x="841"/>
        <item x="679"/>
        <item x="867"/>
        <item x="824"/>
        <item x="148"/>
        <item x="128"/>
        <item x="703"/>
        <item x="170"/>
        <item x="815"/>
        <item x="224"/>
        <item x="32"/>
        <item x="448"/>
        <item x="304"/>
        <item x="262"/>
        <item x="201"/>
        <item x="336"/>
        <item x="633"/>
        <item x="286"/>
        <item x="408"/>
        <item x="606"/>
        <item x="795"/>
        <item x="559"/>
        <item x="656"/>
        <item x="560"/>
        <item x="842"/>
        <item x="777"/>
        <item x="769"/>
        <item x="846"/>
        <item x="634"/>
        <item x="361"/>
        <item x="476"/>
        <item x="684"/>
        <item x="657"/>
        <item x="757"/>
        <item x="691"/>
        <item x="622"/>
        <item x="758"/>
        <item x="345"/>
        <item x="993"/>
        <item x="132"/>
        <item x="729"/>
        <item x="426"/>
        <item x="524"/>
        <item x="863"/>
        <item x="934"/>
        <item x="677"/>
        <item x="893"/>
        <item x="905"/>
        <item x="672"/>
        <item x="20"/>
        <item x="676"/>
        <item x="796"/>
        <item x="430"/>
        <item x="369"/>
        <item x="790"/>
        <item x="706"/>
        <item x="492"/>
        <item x="640"/>
        <item x="880"/>
        <item x="931"/>
        <item x="39"/>
        <item x="906"/>
        <item x="831"/>
        <item x="952"/>
        <item x="301"/>
        <item x="495"/>
        <item x="803"/>
        <item x="102"/>
        <item x="932"/>
        <item x="725"/>
        <item x="465"/>
        <item x="511"/>
        <item x="752"/>
        <item x="602"/>
        <item x="786"/>
        <item x="249"/>
        <item x="496"/>
        <item x="22"/>
        <item x="204"/>
        <item x="242"/>
        <item x="940"/>
        <item x="999"/>
        <item x="516"/>
        <item x="806"/>
        <item x="265"/>
        <item x="173"/>
        <item x="791"/>
        <item x="761"/>
        <item x="692"/>
        <item x="35"/>
        <item x="15"/>
        <item x="153"/>
        <item x="302"/>
        <item x="504"/>
        <item x="378"/>
        <item x="499"/>
        <item x="459"/>
        <item x="305"/>
        <item x="328"/>
        <item x="370"/>
        <item x="641"/>
        <item x="781"/>
        <item x="163"/>
        <item x="89"/>
        <item x="873"/>
        <item x="74"/>
        <item x="447"/>
        <item x="487"/>
        <item x="726"/>
        <item x="897"/>
        <item x="337"/>
        <item x="748"/>
        <item x="965"/>
        <item x="626"/>
        <item x="894"/>
        <item x="225"/>
        <item x="197"/>
        <item x="973"/>
        <item x="843"/>
        <item x="836"/>
        <item x="721"/>
        <item x="922"/>
        <item x="609"/>
        <item x="852"/>
        <item x="860"/>
        <item x="421"/>
        <item x="970"/>
        <item x="971"/>
        <item x="330"/>
        <item x="556"/>
        <item x="685"/>
        <item x="627"/>
        <item x="739"/>
        <item x="276"/>
        <item x="925"/>
        <item x="269"/>
        <item x="936"/>
        <item x="10"/>
        <item x="118"/>
        <item x="312"/>
        <item x="512"/>
        <item x="597"/>
        <item x="696"/>
        <item x="95"/>
        <item x="332"/>
        <item x="693"/>
        <item x="409"/>
        <item x="346"/>
        <item x="177"/>
        <item x="211"/>
        <item x="40"/>
        <item x="114"/>
        <item x="740"/>
        <item x="75"/>
        <item x="85"/>
        <item x="454"/>
        <item x="515"/>
        <item x="58"/>
        <item x="578"/>
        <item x="214"/>
        <item x="697"/>
        <item x="529"/>
        <item x="847"/>
        <item x="338"/>
        <item x="256"/>
        <item x="727"/>
        <item x="549"/>
        <item x="119"/>
        <item x="371"/>
        <item x="313"/>
        <item x="434"/>
        <item x="250"/>
        <item x="257"/>
        <item x="687"/>
        <item x="461"/>
        <item x="959"/>
        <item x="395"/>
        <item x="741"/>
        <item x="827"/>
        <item x="838"/>
        <item x="469"/>
        <item x="164"/>
        <item x="954"/>
        <item x="839"/>
        <item x="717"/>
        <item x="410"/>
        <item x="133"/>
        <item x="283"/>
        <item x="861"/>
        <item x="271"/>
        <item x="782"/>
        <item x="530"/>
        <item x="856"/>
        <item x="284"/>
        <item x="110"/>
        <item x="953"/>
        <item x="50"/>
        <item x="960"/>
        <item x="537"/>
        <item x="473"/>
        <item x="362"/>
        <item x="98"/>
        <item x="787"/>
        <item x="753"/>
        <item x="41"/>
        <item x="422"/>
        <item x="988"/>
        <item x="61"/>
        <item x="397"/>
        <item x="72"/>
        <item x="990"/>
        <item x="774"/>
        <item x="607"/>
        <item x="435"/>
        <item x="888"/>
        <item x="90"/>
        <item x="218"/>
        <item x="285"/>
        <item x="517"/>
        <item x="215"/>
        <item x="372"/>
        <item x="518"/>
        <item x="16"/>
        <item x="427"/>
        <item x="844"/>
        <item x="521"/>
        <item x="375"/>
        <item x="296"/>
        <item x="178"/>
        <item x="832"/>
        <item x="288"/>
        <item x="612"/>
        <item x="820"/>
        <item x="17"/>
        <item x="728"/>
        <item x="56"/>
        <item x="4"/>
        <item x="53"/>
        <item x="272"/>
        <item x="59"/>
        <item x="594"/>
        <item x="720"/>
        <item x="138"/>
        <item x="673"/>
        <item x="466"/>
        <item x="989"/>
        <item x="688"/>
        <item x="171"/>
        <item x="579"/>
        <item x="763"/>
        <item x="403"/>
        <item x="179"/>
        <item x="967"/>
        <item x="306"/>
        <item x="266"/>
        <item x="417"/>
        <item x="698"/>
        <item x="580"/>
        <item x="851"/>
        <item x="968"/>
        <item x="460"/>
        <item x="277"/>
        <item x="966"/>
        <item x="879"/>
        <item x="711"/>
        <item x="864"/>
        <item x="103"/>
        <item x="355"/>
        <item x="944"/>
        <item x="644"/>
        <item x="398"/>
        <item x="251"/>
        <item x="180"/>
        <item x="585"/>
        <item x="392"/>
        <item x="792"/>
        <item x="237"/>
        <item x="991"/>
        <item x="995"/>
        <item x="567"/>
        <item x="709"/>
        <item x="749"/>
        <item x="754"/>
        <item x="107"/>
        <item x="651"/>
        <item x="531"/>
        <item x="874"/>
        <item x="319"/>
        <item x="29"/>
        <item x="550"/>
        <item x="699"/>
        <item x="488"/>
        <item x="350"/>
        <item x="762"/>
        <item x="243"/>
        <item x="907"/>
        <item x="168"/>
        <item x="91"/>
        <item x="825"/>
        <item x="481"/>
        <item x="281"/>
        <item x="323"/>
        <item x="678"/>
        <item x="62"/>
        <item x="367"/>
        <item x="11"/>
        <item x="187"/>
        <item x="477"/>
        <item x="470"/>
        <item x="315"/>
        <item x="386"/>
        <item x="710"/>
        <item x="76"/>
        <item x="324"/>
        <item x="104"/>
        <item x="198"/>
        <item x="199"/>
        <item x="278"/>
        <item x="77"/>
        <item x="325"/>
        <item x="183"/>
        <item x="770"/>
        <item x="680"/>
        <item x="722"/>
        <item x="150"/>
        <item x="254"/>
        <item x="154"/>
        <item x="273"/>
        <item x="681"/>
        <item x="407"/>
        <item x="896"/>
        <item x="742"/>
        <item x="190"/>
        <item x="86"/>
        <item x="862"/>
        <item x="642"/>
        <item x="44"/>
        <item x="759"/>
        <item x="563"/>
        <item x="81"/>
        <item x="875"/>
        <item x="232"/>
        <item x="783"/>
        <item x="808"/>
        <item x="635"/>
        <item x="462"/>
        <item x="1"/>
        <item x="393"/>
        <item x="731"/>
        <item x="144"/>
        <item x="87"/>
        <item x="498"/>
        <item x="275"/>
        <item x="233"/>
        <item x="505"/>
        <item x="436"/>
        <item x="287"/>
        <item x="519"/>
        <item x="30"/>
        <item x="522"/>
        <item x="326"/>
        <item x="51"/>
        <item x="279"/>
        <item x="590"/>
        <item x="908"/>
        <item x="704"/>
        <item x="297"/>
        <item x="632"/>
        <item x="797"/>
        <item x="145"/>
        <item x="136"/>
        <item x="750"/>
        <item x="945"/>
        <item x="289"/>
        <item x="358"/>
        <item x="36"/>
        <item x="185"/>
        <item x="744"/>
        <item x="146"/>
        <item x="712"/>
        <item x="603"/>
        <item x="876"/>
        <item x="467"/>
        <item x="994"/>
        <item x="316"/>
        <item x="441"/>
        <item x="646"/>
        <item x="643"/>
        <item x="513"/>
        <item x="191"/>
        <item x="598"/>
        <item x="379"/>
        <item x="120"/>
        <item x="411"/>
        <item x="901"/>
        <item x="92"/>
        <item x="623"/>
        <item x="420"/>
        <item x="78"/>
        <item x="713"/>
        <item x="333"/>
        <item t="default"/>
      </items>
    </pivotField>
    <pivotField numFmtId="177" showAll="0">
      <items count="342"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>
      <items count="14">
        <item x="4"/>
        <item x="12"/>
        <item x="6"/>
        <item x="7"/>
        <item x="8"/>
        <item x="5"/>
        <item x="2"/>
        <item x="11"/>
        <item x="9"/>
        <item x="10"/>
        <item x="3"/>
        <item x="0"/>
        <item x="1"/>
        <item t="default"/>
      </items>
    </pivotField>
    <pivotField showAll="0"/>
    <pivotField numFmtId="178" showAll="0"/>
    <pivotField numFmtId="178" showAll="0"/>
    <pivotField numFmtId="178" showAll="0"/>
    <pivotField showAll="0">
      <items count="4"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3">
  <location ref="A3:B16" firstHeaderRow="1" firstDataRow="1" firstDataCol="1"/>
  <pivotFields count="13">
    <pivotField showAll="0">
      <items count="1001">
        <item x="981"/>
        <item x="865"/>
        <item x="974"/>
        <item x="209"/>
        <item x="700"/>
        <item x="784"/>
        <item x="705"/>
        <item x="489"/>
        <item x="351"/>
        <item x="124"/>
        <item x="955"/>
        <item x="868"/>
        <item x="775"/>
        <item x="12"/>
        <item x="245"/>
        <item x="619"/>
        <item x="937"/>
        <item x="923"/>
        <item x="83"/>
        <item x="629"/>
        <item x="174"/>
        <item x="816"/>
        <item x="853"/>
        <item x="157"/>
        <item x="258"/>
        <item x="42"/>
        <item x="577"/>
        <item x="290"/>
        <item x="112"/>
        <item x="778"/>
        <item x="307"/>
        <item x="666"/>
        <item x="317"/>
        <item x="229"/>
        <item x="708"/>
        <item x="438"/>
        <item x="840"/>
        <item x="169"/>
        <item x="915"/>
        <item x="975"/>
        <item x="60"/>
        <item x="658"/>
        <item x="79"/>
        <item x="941"/>
        <item x="432"/>
        <item x="734"/>
        <item x="604"/>
        <item x="949"/>
        <item x="768"/>
        <item x="933"/>
        <item x="363"/>
        <item x="793"/>
        <item x="551"/>
        <item x="935"/>
        <item x="52"/>
        <item x="186"/>
        <item x="82"/>
        <item x="718"/>
        <item x="442"/>
        <item x="545"/>
        <item x="909"/>
        <item x="500"/>
        <item x="387"/>
        <item x="63"/>
        <item x="630"/>
        <item x="613"/>
        <item x="719"/>
        <item x="650"/>
        <item x="961"/>
        <item x="779"/>
        <item x="210"/>
        <item x="234"/>
        <item x="399"/>
        <item x="490"/>
        <item x="493"/>
        <item x="669"/>
        <item x="525"/>
        <item x="628"/>
        <item x="339"/>
        <item x="682"/>
        <item x="532"/>
        <item x="45"/>
        <item x="755"/>
        <item x="506"/>
        <item x="455"/>
        <item x="997"/>
        <item x="478"/>
        <item x="68"/>
        <item x="64"/>
        <item x="221"/>
        <item x="48"/>
        <item x="431"/>
        <item x="400"/>
        <item x="382"/>
        <item x="765"/>
        <item x="881"/>
        <item x="804"/>
        <item x="359"/>
        <item x="303"/>
        <item x="858"/>
        <item x="950"/>
        <item x="347"/>
        <item x="383"/>
        <item x="785"/>
        <item x="115"/>
        <item x="610"/>
        <item x="614"/>
        <item x="800"/>
        <item x="926"/>
        <item x="413"/>
        <item x="192"/>
        <item x="449"/>
        <item x="314"/>
        <item x="450"/>
        <item x="771"/>
        <item x="446"/>
        <item x="108"/>
        <item x="636"/>
        <item x="523"/>
        <item x="340"/>
        <item x="689"/>
        <item x="653"/>
        <item x="833"/>
        <item x="344"/>
        <item x="776"/>
        <item x="193"/>
        <item x="902"/>
        <item x="23"/>
        <item x="205"/>
        <item x="918"/>
        <item x="308"/>
        <item x="5"/>
        <item x="137"/>
        <item x="540"/>
        <item x="348"/>
        <item x="979"/>
        <item x="494"/>
        <item x="219"/>
        <item x="428"/>
        <item x="105"/>
        <item x="882"/>
        <item x="564"/>
        <item x="406"/>
        <item x="620"/>
        <item x="546"/>
        <item x="732"/>
        <item x="869"/>
        <item x="571"/>
        <item x="956"/>
        <item x="116"/>
        <item x="341"/>
        <item x="647"/>
        <item x="910"/>
        <item x="801"/>
        <item x="216"/>
        <item x="270"/>
        <item x="565"/>
        <item x="714"/>
        <item x="788"/>
        <item x="996"/>
        <item x="581"/>
        <item x="13"/>
        <item x="129"/>
        <item x="238"/>
        <item x="916"/>
        <item x="388"/>
        <item x="615"/>
        <item x="155"/>
        <item x="980"/>
        <item x="54"/>
        <item x="342"/>
        <item x="175"/>
        <item x="501"/>
        <item x="780"/>
        <item x="69"/>
        <item x="547"/>
        <item x="280"/>
        <item x="942"/>
        <item x="130"/>
        <item x="586"/>
        <item x="121"/>
        <item x="226"/>
        <item x="848"/>
        <item x="582"/>
        <item x="334"/>
        <item x="735"/>
        <item x="608"/>
        <item x="599"/>
        <item x="802"/>
        <item x="227"/>
        <item x="21"/>
        <item x="962"/>
        <item x="456"/>
        <item x="834"/>
        <item x="870"/>
        <item x="423"/>
        <item x="520"/>
        <item x="533"/>
        <item x="241"/>
        <item x="683"/>
        <item x="380"/>
        <item x="539"/>
        <item x="807"/>
        <item x="764"/>
        <item x="298"/>
        <item x="352"/>
        <item x="587"/>
        <item x="507"/>
        <item x="360"/>
        <item x="670"/>
        <item x="18"/>
        <item x="992"/>
        <item x="591"/>
        <item x="134"/>
        <item x="125"/>
        <item x="385"/>
        <item x="885"/>
        <item x="723"/>
        <item x="772"/>
        <item x="849"/>
        <item x="49"/>
        <item x="886"/>
        <item x="364"/>
        <item x="176"/>
        <item x="335"/>
        <item x="99"/>
        <item x="96"/>
        <item x="568"/>
        <item x="453"/>
        <item x="172"/>
        <item x="309"/>
        <item x="701"/>
        <item x="37"/>
        <item x="440"/>
        <item x="70"/>
        <item x="951"/>
        <item x="919"/>
        <item x="534"/>
        <item x="828"/>
        <item x="826"/>
        <item x="985"/>
        <item x="263"/>
        <item x="482"/>
        <item x="139"/>
        <item x="356"/>
        <item x="404"/>
        <item x="911"/>
        <item x="835"/>
        <item x="463"/>
        <item x="877"/>
        <item x="401"/>
        <item x="439"/>
        <item x="552"/>
        <item x="921"/>
        <item x="471"/>
        <item x="57"/>
        <item x="946"/>
        <item x="188"/>
        <item x="690"/>
        <item x="605"/>
        <item x="149"/>
        <item x="616"/>
        <item x="751"/>
        <item x="811"/>
        <item x="468"/>
        <item x="555"/>
        <item x="947"/>
        <item x="617"/>
        <item x="414"/>
        <item x="402"/>
        <item x="264"/>
        <item x="156"/>
        <item x="817"/>
        <item x="299"/>
        <item x="252"/>
        <item x="917"/>
        <item x="353"/>
        <item x="2"/>
        <item x="983"/>
        <item x="887"/>
        <item x="267"/>
        <item x="694"/>
        <item x="255"/>
        <item x="674"/>
        <item x="152"/>
        <item x="349"/>
        <item x="126"/>
        <item x="384"/>
        <item x="497"/>
        <item x="969"/>
        <item x="140"/>
        <item x="373"/>
        <item x="291"/>
        <item x="890"/>
        <item x="6"/>
        <item x="479"/>
        <item x="46"/>
        <item x="924"/>
        <item x="595"/>
        <item x="526"/>
        <item x="557"/>
        <item x="161"/>
        <item x="109"/>
        <item x="106"/>
        <item x="483"/>
        <item x="733"/>
        <item x="871"/>
        <item x="73"/>
        <item x="798"/>
        <item x="389"/>
        <item x="381"/>
        <item x="675"/>
        <item x="730"/>
        <item x="600"/>
        <item x="724"/>
        <item x="472"/>
        <item x="596"/>
        <item x="394"/>
        <item x="415"/>
        <item x="457"/>
        <item x="878"/>
        <item x="818"/>
        <item x="9"/>
        <item x="984"/>
        <item x="854"/>
        <item x="667"/>
        <item x="855"/>
        <item x="809"/>
        <item x="662"/>
        <item x="268"/>
        <item x="451"/>
        <item x="648"/>
        <item x="508"/>
        <item x="184"/>
        <item x="235"/>
        <item x="24"/>
        <item x="927"/>
        <item x="963"/>
        <item x="239"/>
        <item x="592"/>
        <item x="837"/>
        <item x="458"/>
        <item x="475"/>
        <item x="898"/>
        <item x="541"/>
        <item x="566"/>
        <item x="31"/>
        <item x="141"/>
        <item x="903"/>
        <item x="977"/>
        <item x="972"/>
        <item x="484"/>
        <item x="47"/>
        <item x="196"/>
        <item x="97"/>
        <item x="293"/>
        <item x="637"/>
        <item x="27"/>
        <item x="368"/>
        <item x="65"/>
        <item x="572"/>
        <item x="485"/>
        <item x="671"/>
        <item x="343"/>
        <item x="558"/>
        <item x="424"/>
        <item x="374"/>
        <item x="228"/>
        <item x="396"/>
        <item x="569"/>
        <item x="503"/>
        <item x="117"/>
        <item x="142"/>
        <item x="165"/>
        <item x="207"/>
        <item x="93"/>
        <item x="300"/>
        <item x="320"/>
        <item x="912"/>
        <item x="321"/>
        <item x="553"/>
        <item x="829"/>
        <item x="663"/>
        <item x="812"/>
        <item x="652"/>
        <item x="736"/>
        <item x="561"/>
        <item x="664"/>
        <item x="601"/>
        <item x="593"/>
        <item x="631"/>
        <item x="437"/>
        <item x="222"/>
        <item x="230"/>
        <item x="830"/>
        <item x="217"/>
        <item x="292"/>
        <item x="331"/>
        <item x="538"/>
        <item x="166"/>
        <item x="7"/>
        <item x="527"/>
        <item x="33"/>
        <item x="84"/>
        <item x="181"/>
        <item x="805"/>
        <item x="737"/>
        <item x="418"/>
        <item x="929"/>
        <item x="71"/>
        <item x="354"/>
        <item x="147"/>
        <item x="686"/>
        <item x="544"/>
        <item x="588"/>
        <item x="443"/>
        <item x="899"/>
        <item x="707"/>
        <item x="819"/>
        <item x="659"/>
        <item x="948"/>
        <item x="872"/>
        <item x="429"/>
        <item x="589"/>
        <item x="94"/>
        <item x="760"/>
        <item x="743"/>
        <item x="202"/>
        <item x="111"/>
        <item x="618"/>
        <item x="100"/>
        <item x="576"/>
        <item x="405"/>
        <item x="745"/>
        <item x="638"/>
        <item x="535"/>
        <item x="639"/>
        <item x="66"/>
        <item x="38"/>
        <item x="113"/>
        <item x="823"/>
        <item x="416"/>
        <item x="654"/>
        <item x="259"/>
        <item x="930"/>
        <item x="773"/>
        <item x="182"/>
        <item x="365"/>
        <item x="212"/>
        <item x="444"/>
        <item x="957"/>
        <item x="920"/>
        <item x="821"/>
        <item x="464"/>
        <item x="88"/>
        <item x="260"/>
        <item x="574"/>
        <item x="253"/>
        <item x="794"/>
        <item x="976"/>
        <item x="665"/>
        <item x="376"/>
        <item x="964"/>
        <item x="938"/>
        <item x="189"/>
        <item x="810"/>
        <item x="611"/>
        <item x="131"/>
        <item x="509"/>
        <item x="25"/>
        <item x="746"/>
        <item x="8"/>
        <item x="412"/>
        <item x="645"/>
        <item x="474"/>
        <item x="624"/>
        <item x="913"/>
        <item x="327"/>
        <item x="738"/>
        <item x="660"/>
        <item x="668"/>
        <item x="246"/>
        <item x="282"/>
        <item x="542"/>
        <item x="208"/>
        <item x="223"/>
        <item x="799"/>
        <item x="294"/>
        <item x="310"/>
        <item x="766"/>
        <item x="747"/>
        <item x="904"/>
        <item x="122"/>
        <item x="702"/>
        <item x="80"/>
        <item x="987"/>
        <item x="986"/>
        <item x="859"/>
        <item x="135"/>
        <item x="900"/>
        <item x="26"/>
        <item x="883"/>
        <item x="939"/>
        <item x="295"/>
        <item x="261"/>
        <item x="621"/>
        <item x="756"/>
        <item x="0"/>
        <item x="203"/>
        <item x="813"/>
        <item x="943"/>
        <item x="151"/>
        <item x="978"/>
        <item x="491"/>
        <item x="891"/>
        <item x="895"/>
        <item x="452"/>
        <item x="562"/>
        <item x="889"/>
        <item x="866"/>
        <item x="158"/>
        <item x="419"/>
        <item x="200"/>
        <item x="814"/>
        <item x="928"/>
        <item x="322"/>
        <item x="162"/>
        <item x="570"/>
        <item x="536"/>
        <item x="573"/>
        <item x="554"/>
        <item x="194"/>
        <item x="480"/>
        <item x="43"/>
        <item x="390"/>
        <item x="55"/>
        <item x="649"/>
        <item x="914"/>
        <item x="247"/>
        <item x="486"/>
        <item x="857"/>
        <item x="101"/>
        <item x="528"/>
        <item x="695"/>
        <item x="377"/>
        <item x="510"/>
        <item x="892"/>
        <item x="514"/>
        <item x="329"/>
        <item x="543"/>
        <item x="982"/>
        <item x="661"/>
        <item x="213"/>
        <item x="123"/>
        <item x="445"/>
        <item x="167"/>
        <item x="715"/>
        <item x="244"/>
        <item x="850"/>
        <item x="159"/>
        <item x="502"/>
        <item x="143"/>
        <item x="845"/>
        <item x="28"/>
        <item x="195"/>
        <item x="220"/>
        <item x="548"/>
        <item x="318"/>
        <item x="425"/>
        <item x="311"/>
        <item x="583"/>
        <item x="767"/>
        <item x="231"/>
        <item x="240"/>
        <item x="236"/>
        <item x="575"/>
        <item x="391"/>
        <item x="3"/>
        <item x="716"/>
        <item x="160"/>
        <item x="584"/>
        <item x="822"/>
        <item x="14"/>
        <item x="655"/>
        <item x="127"/>
        <item x="433"/>
        <item x="366"/>
        <item x="357"/>
        <item x="248"/>
        <item x="625"/>
        <item x="206"/>
        <item x="958"/>
        <item x="789"/>
        <item x="34"/>
        <item x="884"/>
        <item x="67"/>
        <item x="19"/>
        <item x="998"/>
        <item x="274"/>
        <item x="841"/>
        <item x="679"/>
        <item x="867"/>
        <item x="824"/>
        <item x="148"/>
        <item x="128"/>
        <item x="703"/>
        <item x="170"/>
        <item x="815"/>
        <item x="224"/>
        <item x="32"/>
        <item x="448"/>
        <item x="304"/>
        <item x="262"/>
        <item x="201"/>
        <item x="336"/>
        <item x="633"/>
        <item x="286"/>
        <item x="408"/>
        <item x="606"/>
        <item x="795"/>
        <item x="559"/>
        <item x="656"/>
        <item x="560"/>
        <item x="842"/>
        <item x="777"/>
        <item x="769"/>
        <item x="846"/>
        <item x="634"/>
        <item x="361"/>
        <item x="476"/>
        <item x="684"/>
        <item x="657"/>
        <item x="757"/>
        <item x="691"/>
        <item x="622"/>
        <item x="758"/>
        <item x="345"/>
        <item x="993"/>
        <item x="132"/>
        <item x="729"/>
        <item x="426"/>
        <item x="524"/>
        <item x="863"/>
        <item x="934"/>
        <item x="677"/>
        <item x="893"/>
        <item x="905"/>
        <item x="672"/>
        <item x="20"/>
        <item x="676"/>
        <item x="796"/>
        <item x="430"/>
        <item x="369"/>
        <item x="790"/>
        <item x="706"/>
        <item x="492"/>
        <item x="640"/>
        <item x="880"/>
        <item x="931"/>
        <item x="39"/>
        <item x="906"/>
        <item x="831"/>
        <item x="952"/>
        <item x="301"/>
        <item x="495"/>
        <item x="803"/>
        <item x="102"/>
        <item x="932"/>
        <item x="725"/>
        <item x="465"/>
        <item x="511"/>
        <item x="752"/>
        <item x="602"/>
        <item x="786"/>
        <item x="249"/>
        <item x="496"/>
        <item x="22"/>
        <item x="204"/>
        <item x="242"/>
        <item x="940"/>
        <item x="999"/>
        <item x="516"/>
        <item x="806"/>
        <item x="265"/>
        <item x="173"/>
        <item x="791"/>
        <item x="761"/>
        <item x="692"/>
        <item x="35"/>
        <item x="15"/>
        <item x="153"/>
        <item x="302"/>
        <item x="504"/>
        <item x="378"/>
        <item x="499"/>
        <item x="459"/>
        <item x="305"/>
        <item x="328"/>
        <item x="370"/>
        <item x="641"/>
        <item x="781"/>
        <item x="163"/>
        <item x="89"/>
        <item x="873"/>
        <item x="74"/>
        <item x="447"/>
        <item x="487"/>
        <item x="726"/>
        <item x="897"/>
        <item x="337"/>
        <item x="748"/>
        <item x="965"/>
        <item x="626"/>
        <item x="894"/>
        <item x="225"/>
        <item x="197"/>
        <item x="973"/>
        <item x="843"/>
        <item x="836"/>
        <item x="721"/>
        <item x="922"/>
        <item x="609"/>
        <item x="852"/>
        <item x="860"/>
        <item x="421"/>
        <item x="970"/>
        <item x="971"/>
        <item x="330"/>
        <item x="556"/>
        <item x="685"/>
        <item x="627"/>
        <item x="739"/>
        <item x="276"/>
        <item x="925"/>
        <item x="269"/>
        <item x="936"/>
        <item x="10"/>
        <item x="118"/>
        <item x="312"/>
        <item x="512"/>
        <item x="597"/>
        <item x="696"/>
        <item x="95"/>
        <item x="332"/>
        <item x="693"/>
        <item x="409"/>
        <item x="346"/>
        <item x="177"/>
        <item x="211"/>
        <item x="40"/>
        <item x="114"/>
        <item x="740"/>
        <item x="75"/>
        <item x="85"/>
        <item x="454"/>
        <item x="515"/>
        <item x="58"/>
        <item x="578"/>
        <item x="214"/>
        <item x="697"/>
        <item x="529"/>
        <item x="847"/>
        <item x="338"/>
        <item x="256"/>
        <item x="727"/>
        <item x="549"/>
        <item x="119"/>
        <item x="371"/>
        <item x="313"/>
        <item x="434"/>
        <item x="250"/>
        <item x="257"/>
        <item x="687"/>
        <item x="461"/>
        <item x="959"/>
        <item x="395"/>
        <item x="741"/>
        <item x="827"/>
        <item x="838"/>
        <item x="469"/>
        <item x="164"/>
        <item x="954"/>
        <item x="839"/>
        <item x="717"/>
        <item x="410"/>
        <item x="133"/>
        <item x="283"/>
        <item x="861"/>
        <item x="271"/>
        <item x="782"/>
        <item x="530"/>
        <item x="856"/>
        <item x="284"/>
        <item x="110"/>
        <item x="953"/>
        <item x="50"/>
        <item x="960"/>
        <item x="537"/>
        <item x="473"/>
        <item x="362"/>
        <item x="98"/>
        <item x="787"/>
        <item x="753"/>
        <item x="41"/>
        <item x="422"/>
        <item x="988"/>
        <item x="61"/>
        <item x="397"/>
        <item x="72"/>
        <item x="990"/>
        <item x="774"/>
        <item x="607"/>
        <item x="435"/>
        <item x="888"/>
        <item x="90"/>
        <item x="218"/>
        <item x="285"/>
        <item x="517"/>
        <item x="215"/>
        <item x="372"/>
        <item x="518"/>
        <item x="16"/>
        <item x="427"/>
        <item x="844"/>
        <item x="521"/>
        <item x="375"/>
        <item x="296"/>
        <item x="178"/>
        <item x="832"/>
        <item x="288"/>
        <item x="612"/>
        <item x="820"/>
        <item x="17"/>
        <item x="728"/>
        <item x="56"/>
        <item x="4"/>
        <item x="53"/>
        <item x="272"/>
        <item x="59"/>
        <item x="594"/>
        <item x="720"/>
        <item x="138"/>
        <item x="673"/>
        <item x="466"/>
        <item x="989"/>
        <item x="688"/>
        <item x="171"/>
        <item x="579"/>
        <item x="763"/>
        <item x="403"/>
        <item x="179"/>
        <item x="967"/>
        <item x="306"/>
        <item x="266"/>
        <item x="417"/>
        <item x="698"/>
        <item x="580"/>
        <item x="851"/>
        <item x="968"/>
        <item x="460"/>
        <item x="277"/>
        <item x="966"/>
        <item x="879"/>
        <item x="711"/>
        <item x="864"/>
        <item x="103"/>
        <item x="355"/>
        <item x="944"/>
        <item x="644"/>
        <item x="398"/>
        <item x="251"/>
        <item x="180"/>
        <item x="585"/>
        <item x="392"/>
        <item x="792"/>
        <item x="237"/>
        <item x="991"/>
        <item x="995"/>
        <item x="567"/>
        <item x="709"/>
        <item x="749"/>
        <item x="754"/>
        <item x="107"/>
        <item x="651"/>
        <item x="531"/>
        <item x="874"/>
        <item x="319"/>
        <item x="29"/>
        <item x="550"/>
        <item x="699"/>
        <item x="488"/>
        <item x="350"/>
        <item x="762"/>
        <item x="243"/>
        <item x="907"/>
        <item x="168"/>
        <item x="91"/>
        <item x="825"/>
        <item x="481"/>
        <item x="281"/>
        <item x="323"/>
        <item x="678"/>
        <item x="62"/>
        <item x="367"/>
        <item x="11"/>
        <item x="187"/>
        <item x="477"/>
        <item x="470"/>
        <item x="315"/>
        <item x="386"/>
        <item x="710"/>
        <item x="76"/>
        <item x="324"/>
        <item x="104"/>
        <item x="198"/>
        <item x="199"/>
        <item x="278"/>
        <item x="77"/>
        <item x="325"/>
        <item x="183"/>
        <item x="770"/>
        <item x="680"/>
        <item x="722"/>
        <item x="150"/>
        <item x="254"/>
        <item x="154"/>
        <item x="273"/>
        <item x="681"/>
        <item x="407"/>
        <item x="896"/>
        <item x="742"/>
        <item x="190"/>
        <item x="86"/>
        <item x="862"/>
        <item x="642"/>
        <item x="44"/>
        <item x="759"/>
        <item x="563"/>
        <item x="81"/>
        <item x="875"/>
        <item x="232"/>
        <item x="783"/>
        <item x="808"/>
        <item x="635"/>
        <item x="462"/>
        <item x="1"/>
        <item x="393"/>
        <item x="731"/>
        <item x="144"/>
        <item x="87"/>
        <item x="498"/>
        <item x="275"/>
        <item x="233"/>
        <item x="505"/>
        <item x="436"/>
        <item x="287"/>
        <item x="519"/>
        <item x="30"/>
        <item x="522"/>
        <item x="326"/>
        <item x="51"/>
        <item x="279"/>
        <item x="590"/>
        <item x="908"/>
        <item x="704"/>
        <item x="297"/>
        <item x="632"/>
        <item x="797"/>
        <item x="145"/>
        <item x="136"/>
        <item x="750"/>
        <item x="945"/>
        <item x="289"/>
        <item x="358"/>
        <item x="36"/>
        <item x="185"/>
        <item x="744"/>
        <item x="146"/>
        <item x="712"/>
        <item x="603"/>
        <item x="876"/>
        <item x="467"/>
        <item x="994"/>
        <item x="316"/>
        <item x="441"/>
        <item x="646"/>
        <item x="643"/>
        <item x="513"/>
        <item x="191"/>
        <item x="598"/>
        <item x="379"/>
        <item x="120"/>
        <item x="411"/>
        <item x="901"/>
        <item x="92"/>
        <item x="623"/>
        <item x="420"/>
        <item x="78"/>
        <item x="713"/>
        <item x="333"/>
        <item t="default"/>
      </items>
    </pivotField>
    <pivotField axis="axisRow" numFmtId="177" showAll="0">
      <items count="342"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>
      <items count="14">
        <item x="4"/>
        <item x="12"/>
        <item x="6"/>
        <item x="7"/>
        <item x="8"/>
        <item x="5"/>
        <item x="2"/>
        <item x="11"/>
        <item x="9"/>
        <item x="10"/>
        <item x="3"/>
        <item x="0"/>
        <item x="1"/>
        <item t="default"/>
      </items>
    </pivotField>
    <pivotField showAll="0"/>
    <pivotField numFmtId="178" showAll="0"/>
    <pivotField numFmtId="178" showAll="0"/>
    <pivotField dataField="1" numFmtId="178" showAll="0"/>
    <pivotField showAll="0">
      <items count="4">
        <item x="2"/>
        <item x="1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9" baseField="0" baseItem="0" numFmtId="176"/>
  </dataFields>
  <formats count="1">
    <format dxfId="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4">
  <location ref="A3:B8" firstHeaderRow="1" firstDataRow="1" firstDataCol="1"/>
  <pivotFields count="13">
    <pivotField showAll="0">
      <items count="1001">
        <item x="981"/>
        <item x="865"/>
        <item x="974"/>
        <item x="209"/>
        <item x="700"/>
        <item x="784"/>
        <item x="705"/>
        <item x="489"/>
        <item x="351"/>
        <item x="124"/>
        <item x="955"/>
        <item x="868"/>
        <item x="775"/>
        <item x="12"/>
        <item x="245"/>
        <item x="619"/>
        <item x="937"/>
        <item x="923"/>
        <item x="83"/>
        <item x="629"/>
        <item x="174"/>
        <item x="816"/>
        <item x="853"/>
        <item x="157"/>
        <item x="258"/>
        <item x="42"/>
        <item x="577"/>
        <item x="290"/>
        <item x="112"/>
        <item x="778"/>
        <item x="307"/>
        <item x="666"/>
        <item x="317"/>
        <item x="229"/>
        <item x="708"/>
        <item x="438"/>
        <item x="840"/>
        <item x="169"/>
        <item x="915"/>
        <item x="975"/>
        <item x="60"/>
        <item x="658"/>
        <item x="79"/>
        <item x="941"/>
        <item x="432"/>
        <item x="734"/>
        <item x="604"/>
        <item x="949"/>
        <item x="768"/>
        <item x="933"/>
        <item x="363"/>
        <item x="793"/>
        <item x="551"/>
        <item x="935"/>
        <item x="52"/>
        <item x="186"/>
        <item x="82"/>
        <item x="718"/>
        <item x="442"/>
        <item x="545"/>
        <item x="909"/>
        <item x="500"/>
        <item x="387"/>
        <item x="63"/>
        <item x="630"/>
        <item x="613"/>
        <item x="719"/>
        <item x="650"/>
        <item x="961"/>
        <item x="779"/>
        <item x="210"/>
        <item x="234"/>
        <item x="399"/>
        <item x="490"/>
        <item x="493"/>
        <item x="669"/>
        <item x="525"/>
        <item x="628"/>
        <item x="339"/>
        <item x="682"/>
        <item x="532"/>
        <item x="45"/>
        <item x="755"/>
        <item x="506"/>
        <item x="455"/>
        <item x="997"/>
        <item x="478"/>
        <item x="68"/>
        <item x="64"/>
        <item x="221"/>
        <item x="48"/>
        <item x="431"/>
        <item x="400"/>
        <item x="382"/>
        <item x="765"/>
        <item x="881"/>
        <item x="804"/>
        <item x="359"/>
        <item x="303"/>
        <item x="858"/>
        <item x="950"/>
        <item x="347"/>
        <item x="383"/>
        <item x="785"/>
        <item x="115"/>
        <item x="610"/>
        <item x="614"/>
        <item x="800"/>
        <item x="926"/>
        <item x="413"/>
        <item x="192"/>
        <item x="449"/>
        <item x="314"/>
        <item x="450"/>
        <item x="771"/>
        <item x="446"/>
        <item x="108"/>
        <item x="636"/>
        <item x="523"/>
        <item x="340"/>
        <item x="689"/>
        <item x="653"/>
        <item x="833"/>
        <item x="344"/>
        <item x="776"/>
        <item x="193"/>
        <item x="902"/>
        <item x="23"/>
        <item x="205"/>
        <item x="918"/>
        <item x="308"/>
        <item x="5"/>
        <item x="137"/>
        <item x="540"/>
        <item x="348"/>
        <item x="979"/>
        <item x="494"/>
        <item x="219"/>
        <item x="428"/>
        <item x="105"/>
        <item x="882"/>
        <item x="564"/>
        <item x="406"/>
        <item x="620"/>
        <item x="546"/>
        <item x="732"/>
        <item x="869"/>
        <item x="571"/>
        <item x="956"/>
        <item x="116"/>
        <item x="341"/>
        <item x="647"/>
        <item x="910"/>
        <item x="801"/>
        <item x="216"/>
        <item x="270"/>
        <item x="565"/>
        <item x="714"/>
        <item x="788"/>
        <item x="996"/>
        <item x="581"/>
        <item x="13"/>
        <item x="129"/>
        <item x="238"/>
        <item x="916"/>
        <item x="388"/>
        <item x="615"/>
        <item x="155"/>
        <item x="980"/>
        <item x="54"/>
        <item x="342"/>
        <item x="175"/>
        <item x="501"/>
        <item x="780"/>
        <item x="69"/>
        <item x="547"/>
        <item x="280"/>
        <item x="942"/>
        <item x="130"/>
        <item x="586"/>
        <item x="121"/>
        <item x="226"/>
        <item x="848"/>
        <item x="582"/>
        <item x="334"/>
        <item x="735"/>
        <item x="608"/>
        <item x="599"/>
        <item x="802"/>
        <item x="227"/>
        <item x="21"/>
        <item x="962"/>
        <item x="456"/>
        <item x="834"/>
        <item x="870"/>
        <item x="423"/>
        <item x="520"/>
        <item x="533"/>
        <item x="241"/>
        <item x="683"/>
        <item x="380"/>
        <item x="539"/>
        <item x="807"/>
        <item x="764"/>
        <item x="298"/>
        <item x="352"/>
        <item x="587"/>
        <item x="507"/>
        <item x="360"/>
        <item x="670"/>
        <item x="18"/>
        <item x="992"/>
        <item x="591"/>
        <item x="134"/>
        <item x="125"/>
        <item x="385"/>
        <item x="885"/>
        <item x="723"/>
        <item x="772"/>
        <item x="849"/>
        <item x="49"/>
        <item x="886"/>
        <item x="364"/>
        <item x="176"/>
        <item x="335"/>
        <item x="99"/>
        <item x="96"/>
        <item x="568"/>
        <item x="453"/>
        <item x="172"/>
        <item x="309"/>
        <item x="701"/>
        <item x="37"/>
        <item x="440"/>
        <item x="70"/>
        <item x="951"/>
        <item x="919"/>
        <item x="534"/>
        <item x="828"/>
        <item x="826"/>
        <item x="985"/>
        <item x="263"/>
        <item x="482"/>
        <item x="139"/>
        <item x="356"/>
        <item x="404"/>
        <item x="911"/>
        <item x="835"/>
        <item x="463"/>
        <item x="877"/>
        <item x="401"/>
        <item x="439"/>
        <item x="552"/>
        <item x="921"/>
        <item x="471"/>
        <item x="57"/>
        <item x="946"/>
        <item x="188"/>
        <item x="690"/>
        <item x="605"/>
        <item x="149"/>
        <item x="616"/>
        <item x="751"/>
        <item x="811"/>
        <item x="468"/>
        <item x="555"/>
        <item x="947"/>
        <item x="617"/>
        <item x="414"/>
        <item x="402"/>
        <item x="264"/>
        <item x="156"/>
        <item x="817"/>
        <item x="299"/>
        <item x="252"/>
        <item x="917"/>
        <item x="353"/>
        <item x="2"/>
        <item x="983"/>
        <item x="887"/>
        <item x="267"/>
        <item x="694"/>
        <item x="255"/>
        <item x="674"/>
        <item x="152"/>
        <item x="349"/>
        <item x="126"/>
        <item x="384"/>
        <item x="497"/>
        <item x="969"/>
        <item x="140"/>
        <item x="373"/>
        <item x="291"/>
        <item x="890"/>
        <item x="6"/>
        <item x="479"/>
        <item x="46"/>
        <item x="924"/>
        <item x="595"/>
        <item x="526"/>
        <item x="557"/>
        <item x="161"/>
        <item x="109"/>
        <item x="106"/>
        <item x="483"/>
        <item x="733"/>
        <item x="871"/>
        <item x="73"/>
        <item x="798"/>
        <item x="389"/>
        <item x="381"/>
        <item x="675"/>
        <item x="730"/>
        <item x="600"/>
        <item x="724"/>
        <item x="472"/>
        <item x="596"/>
        <item x="394"/>
        <item x="415"/>
        <item x="457"/>
        <item x="878"/>
        <item x="818"/>
        <item x="9"/>
        <item x="984"/>
        <item x="854"/>
        <item x="667"/>
        <item x="855"/>
        <item x="809"/>
        <item x="662"/>
        <item x="268"/>
        <item x="451"/>
        <item x="648"/>
        <item x="508"/>
        <item x="184"/>
        <item x="235"/>
        <item x="24"/>
        <item x="927"/>
        <item x="963"/>
        <item x="239"/>
        <item x="592"/>
        <item x="837"/>
        <item x="458"/>
        <item x="475"/>
        <item x="898"/>
        <item x="541"/>
        <item x="566"/>
        <item x="31"/>
        <item x="141"/>
        <item x="903"/>
        <item x="977"/>
        <item x="972"/>
        <item x="484"/>
        <item x="47"/>
        <item x="196"/>
        <item x="97"/>
        <item x="293"/>
        <item x="637"/>
        <item x="27"/>
        <item x="368"/>
        <item x="65"/>
        <item x="572"/>
        <item x="485"/>
        <item x="671"/>
        <item x="343"/>
        <item x="558"/>
        <item x="424"/>
        <item x="374"/>
        <item x="228"/>
        <item x="396"/>
        <item x="569"/>
        <item x="503"/>
        <item x="117"/>
        <item x="142"/>
        <item x="165"/>
        <item x="207"/>
        <item x="93"/>
        <item x="300"/>
        <item x="320"/>
        <item x="912"/>
        <item x="321"/>
        <item x="553"/>
        <item x="829"/>
        <item x="663"/>
        <item x="812"/>
        <item x="652"/>
        <item x="736"/>
        <item x="561"/>
        <item x="664"/>
        <item x="601"/>
        <item x="593"/>
        <item x="631"/>
        <item x="437"/>
        <item x="222"/>
        <item x="230"/>
        <item x="830"/>
        <item x="217"/>
        <item x="292"/>
        <item x="331"/>
        <item x="538"/>
        <item x="166"/>
        <item x="7"/>
        <item x="527"/>
        <item x="33"/>
        <item x="84"/>
        <item x="181"/>
        <item x="805"/>
        <item x="737"/>
        <item x="418"/>
        <item x="929"/>
        <item x="71"/>
        <item x="354"/>
        <item x="147"/>
        <item x="686"/>
        <item x="544"/>
        <item x="588"/>
        <item x="443"/>
        <item x="899"/>
        <item x="707"/>
        <item x="819"/>
        <item x="659"/>
        <item x="948"/>
        <item x="872"/>
        <item x="429"/>
        <item x="589"/>
        <item x="94"/>
        <item x="760"/>
        <item x="743"/>
        <item x="202"/>
        <item x="111"/>
        <item x="618"/>
        <item x="100"/>
        <item x="576"/>
        <item x="405"/>
        <item x="745"/>
        <item x="638"/>
        <item x="535"/>
        <item x="639"/>
        <item x="66"/>
        <item x="38"/>
        <item x="113"/>
        <item x="823"/>
        <item x="416"/>
        <item x="654"/>
        <item x="259"/>
        <item x="930"/>
        <item x="773"/>
        <item x="182"/>
        <item x="365"/>
        <item x="212"/>
        <item x="444"/>
        <item x="957"/>
        <item x="920"/>
        <item x="821"/>
        <item x="464"/>
        <item x="88"/>
        <item x="260"/>
        <item x="574"/>
        <item x="253"/>
        <item x="794"/>
        <item x="976"/>
        <item x="665"/>
        <item x="376"/>
        <item x="964"/>
        <item x="938"/>
        <item x="189"/>
        <item x="810"/>
        <item x="611"/>
        <item x="131"/>
        <item x="509"/>
        <item x="25"/>
        <item x="746"/>
        <item x="8"/>
        <item x="412"/>
        <item x="645"/>
        <item x="474"/>
        <item x="624"/>
        <item x="913"/>
        <item x="327"/>
        <item x="738"/>
        <item x="660"/>
        <item x="668"/>
        <item x="246"/>
        <item x="282"/>
        <item x="542"/>
        <item x="208"/>
        <item x="223"/>
        <item x="799"/>
        <item x="294"/>
        <item x="310"/>
        <item x="766"/>
        <item x="747"/>
        <item x="904"/>
        <item x="122"/>
        <item x="702"/>
        <item x="80"/>
        <item x="987"/>
        <item x="986"/>
        <item x="859"/>
        <item x="135"/>
        <item x="900"/>
        <item x="26"/>
        <item x="883"/>
        <item x="939"/>
        <item x="295"/>
        <item x="261"/>
        <item x="621"/>
        <item x="756"/>
        <item x="0"/>
        <item x="203"/>
        <item x="813"/>
        <item x="943"/>
        <item x="151"/>
        <item x="978"/>
        <item x="491"/>
        <item x="891"/>
        <item x="895"/>
        <item x="452"/>
        <item x="562"/>
        <item x="889"/>
        <item x="866"/>
        <item x="158"/>
        <item x="419"/>
        <item x="200"/>
        <item x="814"/>
        <item x="928"/>
        <item x="322"/>
        <item x="162"/>
        <item x="570"/>
        <item x="536"/>
        <item x="573"/>
        <item x="554"/>
        <item x="194"/>
        <item x="480"/>
        <item x="43"/>
        <item x="390"/>
        <item x="55"/>
        <item x="649"/>
        <item x="914"/>
        <item x="247"/>
        <item x="486"/>
        <item x="857"/>
        <item x="101"/>
        <item x="528"/>
        <item x="695"/>
        <item x="377"/>
        <item x="510"/>
        <item x="892"/>
        <item x="514"/>
        <item x="329"/>
        <item x="543"/>
        <item x="982"/>
        <item x="661"/>
        <item x="213"/>
        <item x="123"/>
        <item x="445"/>
        <item x="167"/>
        <item x="715"/>
        <item x="244"/>
        <item x="850"/>
        <item x="159"/>
        <item x="502"/>
        <item x="143"/>
        <item x="845"/>
        <item x="28"/>
        <item x="195"/>
        <item x="220"/>
        <item x="548"/>
        <item x="318"/>
        <item x="425"/>
        <item x="311"/>
        <item x="583"/>
        <item x="767"/>
        <item x="231"/>
        <item x="240"/>
        <item x="236"/>
        <item x="575"/>
        <item x="391"/>
        <item x="3"/>
        <item x="716"/>
        <item x="160"/>
        <item x="584"/>
        <item x="822"/>
        <item x="14"/>
        <item x="655"/>
        <item x="127"/>
        <item x="433"/>
        <item x="366"/>
        <item x="357"/>
        <item x="248"/>
        <item x="625"/>
        <item x="206"/>
        <item x="958"/>
        <item x="789"/>
        <item x="34"/>
        <item x="884"/>
        <item x="67"/>
        <item x="19"/>
        <item x="998"/>
        <item x="274"/>
        <item x="841"/>
        <item x="679"/>
        <item x="867"/>
        <item x="824"/>
        <item x="148"/>
        <item x="128"/>
        <item x="703"/>
        <item x="170"/>
        <item x="815"/>
        <item x="224"/>
        <item x="32"/>
        <item x="448"/>
        <item x="304"/>
        <item x="262"/>
        <item x="201"/>
        <item x="336"/>
        <item x="633"/>
        <item x="286"/>
        <item x="408"/>
        <item x="606"/>
        <item x="795"/>
        <item x="559"/>
        <item x="656"/>
        <item x="560"/>
        <item x="842"/>
        <item x="777"/>
        <item x="769"/>
        <item x="846"/>
        <item x="634"/>
        <item x="361"/>
        <item x="476"/>
        <item x="684"/>
        <item x="657"/>
        <item x="757"/>
        <item x="691"/>
        <item x="622"/>
        <item x="758"/>
        <item x="345"/>
        <item x="993"/>
        <item x="132"/>
        <item x="729"/>
        <item x="426"/>
        <item x="524"/>
        <item x="863"/>
        <item x="934"/>
        <item x="677"/>
        <item x="893"/>
        <item x="905"/>
        <item x="672"/>
        <item x="20"/>
        <item x="676"/>
        <item x="796"/>
        <item x="430"/>
        <item x="369"/>
        <item x="790"/>
        <item x="706"/>
        <item x="492"/>
        <item x="640"/>
        <item x="880"/>
        <item x="931"/>
        <item x="39"/>
        <item x="906"/>
        <item x="831"/>
        <item x="952"/>
        <item x="301"/>
        <item x="495"/>
        <item x="803"/>
        <item x="102"/>
        <item x="932"/>
        <item x="725"/>
        <item x="465"/>
        <item x="511"/>
        <item x="752"/>
        <item x="602"/>
        <item x="786"/>
        <item x="249"/>
        <item x="496"/>
        <item x="22"/>
        <item x="204"/>
        <item x="242"/>
        <item x="940"/>
        <item x="999"/>
        <item x="516"/>
        <item x="806"/>
        <item x="265"/>
        <item x="173"/>
        <item x="791"/>
        <item x="761"/>
        <item x="692"/>
        <item x="35"/>
        <item x="15"/>
        <item x="153"/>
        <item x="302"/>
        <item x="504"/>
        <item x="378"/>
        <item x="499"/>
        <item x="459"/>
        <item x="305"/>
        <item x="328"/>
        <item x="370"/>
        <item x="641"/>
        <item x="781"/>
        <item x="163"/>
        <item x="89"/>
        <item x="873"/>
        <item x="74"/>
        <item x="447"/>
        <item x="487"/>
        <item x="726"/>
        <item x="897"/>
        <item x="337"/>
        <item x="748"/>
        <item x="965"/>
        <item x="626"/>
        <item x="894"/>
        <item x="225"/>
        <item x="197"/>
        <item x="973"/>
        <item x="843"/>
        <item x="836"/>
        <item x="721"/>
        <item x="922"/>
        <item x="609"/>
        <item x="852"/>
        <item x="860"/>
        <item x="421"/>
        <item x="970"/>
        <item x="971"/>
        <item x="330"/>
        <item x="556"/>
        <item x="685"/>
        <item x="627"/>
        <item x="739"/>
        <item x="276"/>
        <item x="925"/>
        <item x="269"/>
        <item x="936"/>
        <item x="10"/>
        <item x="118"/>
        <item x="312"/>
        <item x="512"/>
        <item x="597"/>
        <item x="696"/>
        <item x="95"/>
        <item x="332"/>
        <item x="693"/>
        <item x="409"/>
        <item x="346"/>
        <item x="177"/>
        <item x="211"/>
        <item x="40"/>
        <item x="114"/>
        <item x="740"/>
        <item x="75"/>
        <item x="85"/>
        <item x="454"/>
        <item x="515"/>
        <item x="58"/>
        <item x="578"/>
        <item x="214"/>
        <item x="697"/>
        <item x="529"/>
        <item x="847"/>
        <item x="338"/>
        <item x="256"/>
        <item x="727"/>
        <item x="549"/>
        <item x="119"/>
        <item x="371"/>
        <item x="313"/>
        <item x="434"/>
        <item x="250"/>
        <item x="257"/>
        <item x="687"/>
        <item x="461"/>
        <item x="959"/>
        <item x="395"/>
        <item x="741"/>
        <item x="827"/>
        <item x="838"/>
        <item x="469"/>
        <item x="164"/>
        <item x="954"/>
        <item x="839"/>
        <item x="717"/>
        <item x="410"/>
        <item x="133"/>
        <item x="283"/>
        <item x="861"/>
        <item x="271"/>
        <item x="782"/>
        <item x="530"/>
        <item x="856"/>
        <item x="284"/>
        <item x="110"/>
        <item x="953"/>
        <item x="50"/>
        <item x="960"/>
        <item x="537"/>
        <item x="473"/>
        <item x="362"/>
        <item x="98"/>
        <item x="787"/>
        <item x="753"/>
        <item x="41"/>
        <item x="422"/>
        <item x="988"/>
        <item x="61"/>
        <item x="397"/>
        <item x="72"/>
        <item x="990"/>
        <item x="774"/>
        <item x="607"/>
        <item x="435"/>
        <item x="888"/>
        <item x="90"/>
        <item x="218"/>
        <item x="285"/>
        <item x="517"/>
        <item x="215"/>
        <item x="372"/>
        <item x="518"/>
        <item x="16"/>
        <item x="427"/>
        <item x="844"/>
        <item x="521"/>
        <item x="375"/>
        <item x="296"/>
        <item x="178"/>
        <item x="832"/>
        <item x="288"/>
        <item x="612"/>
        <item x="820"/>
        <item x="17"/>
        <item x="728"/>
        <item x="56"/>
        <item x="4"/>
        <item x="53"/>
        <item x="272"/>
        <item x="59"/>
        <item x="594"/>
        <item x="720"/>
        <item x="138"/>
        <item x="673"/>
        <item x="466"/>
        <item x="989"/>
        <item x="688"/>
        <item x="171"/>
        <item x="579"/>
        <item x="763"/>
        <item x="403"/>
        <item x="179"/>
        <item x="967"/>
        <item x="306"/>
        <item x="266"/>
        <item x="417"/>
        <item x="698"/>
        <item x="580"/>
        <item x="851"/>
        <item x="968"/>
        <item x="460"/>
        <item x="277"/>
        <item x="966"/>
        <item x="879"/>
        <item x="711"/>
        <item x="864"/>
        <item x="103"/>
        <item x="355"/>
        <item x="944"/>
        <item x="644"/>
        <item x="398"/>
        <item x="251"/>
        <item x="180"/>
        <item x="585"/>
        <item x="392"/>
        <item x="792"/>
        <item x="237"/>
        <item x="991"/>
        <item x="995"/>
        <item x="567"/>
        <item x="709"/>
        <item x="749"/>
        <item x="754"/>
        <item x="107"/>
        <item x="651"/>
        <item x="531"/>
        <item x="874"/>
        <item x="319"/>
        <item x="29"/>
        <item x="550"/>
        <item x="699"/>
        <item x="488"/>
        <item x="350"/>
        <item x="762"/>
        <item x="243"/>
        <item x="907"/>
        <item x="168"/>
        <item x="91"/>
        <item x="825"/>
        <item x="481"/>
        <item x="281"/>
        <item x="323"/>
        <item x="678"/>
        <item x="62"/>
        <item x="367"/>
        <item x="11"/>
        <item x="187"/>
        <item x="477"/>
        <item x="470"/>
        <item x="315"/>
        <item x="386"/>
        <item x="710"/>
        <item x="76"/>
        <item x="324"/>
        <item x="104"/>
        <item x="198"/>
        <item x="199"/>
        <item x="278"/>
        <item x="77"/>
        <item x="325"/>
        <item x="183"/>
        <item x="770"/>
        <item x="680"/>
        <item x="722"/>
        <item x="150"/>
        <item x="254"/>
        <item x="154"/>
        <item x="273"/>
        <item x="681"/>
        <item x="407"/>
        <item x="896"/>
        <item x="742"/>
        <item x="190"/>
        <item x="86"/>
        <item x="862"/>
        <item x="642"/>
        <item x="44"/>
        <item x="759"/>
        <item x="563"/>
        <item x="81"/>
        <item x="875"/>
        <item x="232"/>
        <item x="783"/>
        <item x="808"/>
        <item x="635"/>
        <item x="462"/>
        <item x="1"/>
        <item x="393"/>
        <item x="731"/>
        <item x="144"/>
        <item x="87"/>
        <item x="498"/>
        <item x="275"/>
        <item x="233"/>
        <item x="505"/>
        <item x="436"/>
        <item x="287"/>
        <item x="519"/>
        <item x="30"/>
        <item x="522"/>
        <item x="326"/>
        <item x="51"/>
        <item x="279"/>
        <item x="590"/>
        <item x="908"/>
        <item x="704"/>
        <item x="297"/>
        <item x="632"/>
        <item x="797"/>
        <item x="145"/>
        <item x="136"/>
        <item x="750"/>
        <item x="945"/>
        <item x="289"/>
        <item x="358"/>
        <item x="36"/>
        <item x="185"/>
        <item x="744"/>
        <item x="146"/>
        <item x="712"/>
        <item x="603"/>
        <item x="876"/>
        <item x="467"/>
        <item x="994"/>
        <item x="316"/>
        <item x="441"/>
        <item x="646"/>
        <item x="643"/>
        <item x="513"/>
        <item x="191"/>
        <item x="598"/>
        <item x="379"/>
        <item x="120"/>
        <item x="411"/>
        <item x="901"/>
        <item x="92"/>
        <item x="623"/>
        <item x="420"/>
        <item x="78"/>
        <item x="713"/>
        <item x="333"/>
        <item t="default"/>
      </items>
    </pivotField>
    <pivotField numFmtId="177" showAll="0">
      <items count="342"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axis="axisRow" sortType="ascending" showAll="0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4">
        <item x="4"/>
        <item x="12"/>
        <item x="6"/>
        <item x="7"/>
        <item x="8"/>
        <item x="5"/>
        <item x="2"/>
        <item x="11"/>
        <item x="9"/>
        <item x="10"/>
        <item x="3"/>
        <item x="0"/>
        <item x="1"/>
        <item t="default"/>
      </items>
    </pivotField>
    <pivotField showAll="0"/>
    <pivotField numFmtId="178" showAll="0"/>
    <pivotField numFmtId="178" showAll="0"/>
    <pivotField dataField="1" numFmtId="178" showAll="0"/>
    <pivotField showAll="0">
      <items count="4">
        <item x="2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Revenue" fld="9" baseField="0" baseItem="0" numFmtId="176"/>
  </dataFields>
  <formats count="1">
    <format dxfId="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1:C14" firstHeaderRow="0" firstDataRow="1" firstDataCol="1"/>
  <pivotFields count="13">
    <pivotField showAll="0">
      <items count="1001">
        <item x="981"/>
        <item x="865"/>
        <item x="974"/>
        <item x="209"/>
        <item x="700"/>
        <item x="784"/>
        <item x="705"/>
        <item x="489"/>
        <item x="351"/>
        <item x="124"/>
        <item x="955"/>
        <item x="868"/>
        <item x="775"/>
        <item x="12"/>
        <item x="245"/>
        <item x="619"/>
        <item x="937"/>
        <item x="923"/>
        <item x="83"/>
        <item x="629"/>
        <item x="174"/>
        <item x="816"/>
        <item x="853"/>
        <item x="157"/>
        <item x="258"/>
        <item x="42"/>
        <item x="577"/>
        <item x="290"/>
        <item x="112"/>
        <item x="778"/>
        <item x="307"/>
        <item x="666"/>
        <item x="317"/>
        <item x="229"/>
        <item x="708"/>
        <item x="438"/>
        <item x="840"/>
        <item x="169"/>
        <item x="915"/>
        <item x="975"/>
        <item x="60"/>
        <item x="658"/>
        <item x="79"/>
        <item x="941"/>
        <item x="432"/>
        <item x="734"/>
        <item x="604"/>
        <item x="949"/>
        <item x="768"/>
        <item x="933"/>
        <item x="363"/>
        <item x="793"/>
        <item x="551"/>
        <item x="935"/>
        <item x="52"/>
        <item x="186"/>
        <item x="82"/>
        <item x="718"/>
        <item x="442"/>
        <item x="545"/>
        <item x="909"/>
        <item x="500"/>
        <item x="387"/>
        <item x="63"/>
        <item x="630"/>
        <item x="613"/>
        <item x="719"/>
        <item x="650"/>
        <item x="961"/>
        <item x="779"/>
        <item x="210"/>
        <item x="234"/>
        <item x="399"/>
        <item x="490"/>
        <item x="493"/>
        <item x="669"/>
        <item x="525"/>
        <item x="628"/>
        <item x="339"/>
        <item x="682"/>
        <item x="532"/>
        <item x="45"/>
        <item x="755"/>
        <item x="506"/>
        <item x="455"/>
        <item x="997"/>
        <item x="478"/>
        <item x="68"/>
        <item x="64"/>
        <item x="221"/>
        <item x="48"/>
        <item x="431"/>
        <item x="400"/>
        <item x="382"/>
        <item x="765"/>
        <item x="881"/>
        <item x="804"/>
        <item x="359"/>
        <item x="303"/>
        <item x="858"/>
        <item x="950"/>
        <item x="347"/>
        <item x="383"/>
        <item x="785"/>
        <item x="115"/>
        <item x="610"/>
        <item x="614"/>
        <item x="800"/>
        <item x="926"/>
        <item x="413"/>
        <item x="192"/>
        <item x="449"/>
        <item x="314"/>
        <item x="450"/>
        <item x="771"/>
        <item x="446"/>
        <item x="108"/>
        <item x="636"/>
        <item x="523"/>
        <item x="340"/>
        <item x="689"/>
        <item x="653"/>
        <item x="833"/>
        <item x="344"/>
        <item x="776"/>
        <item x="193"/>
        <item x="902"/>
        <item x="23"/>
        <item x="205"/>
        <item x="918"/>
        <item x="308"/>
        <item x="5"/>
        <item x="137"/>
        <item x="540"/>
        <item x="348"/>
        <item x="979"/>
        <item x="494"/>
        <item x="219"/>
        <item x="428"/>
        <item x="105"/>
        <item x="882"/>
        <item x="564"/>
        <item x="406"/>
        <item x="620"/>
        <item x="546"/>
        <item x="732"/>
        <item x="869"/>
        <item x="571"/>
        <item x="956"/>
        <item x="116"/>
        <item x="341"/>
        <item x="647"/>
        <item x="910"/>
        <item x="801"/>
        <item x="216"/>
        <item x="270"/>
        <item x="565"/>
        <item x="714"/>
        <item x="788"/>
        <item x="996"/>
        <item x="581"/>
        <item x="13"/>
        <item x="129"/>
        <item x="238"/>
        <item x="916"/>
        <item x="388"/>
        <item x="615"/>
        <item x="155"/>
        <item x="980"/>
        <item x="54"/>
        <item x="342"/>
        <item x="175"/>
        <item x="501"/>
        <item x="780"/>
        <item x="69"/>
        <item x="547"/>
        <item x="280"/>
        <item x="942"/>
        <item x="130"/>
        <item x="586"/>
        <item x="121"/>
        <item x="226"/>
        <item x="848"/>
        <item x="582"/>
        <item x="334"/>
        <item x="735"/>
        <item x="608"/>
        <item x="599"/>
        <item x="802"/>
        <item x="227"/>
        <item x="21"/>
        <item x="962"/>
        <item x="456"/>
        <item x="834"/>
        <item x="870"/>
        <item x="423"/>
        <item x="520"/>
        <item x="533"/>
        <item x="241"/>
        <item x="683"/>
        <item x="380"/>
        <item x="539"/>
        <item x="807"/>
        <item x="764"/>
        <item x="298"/>
        <item x="352"/>
        <item x="587"/>
        <item x="507"/>
        <item x="360"/>
        <item x="670"/>
        <item x="18"/>
        <item x="992"/>
        <item x="591"/>
        <item x="134"/>
        <item x="125"/>
        <item x="385"/>
        <item x="885"/>
        <item x="723"/>
        <item x="772"/>
        <item x="849"/>
        <item x="49"/>
        <item x="886"/>
        <item x="364"/>
        <item x="176"/>
        <item x="335"/>
        <item x="99"/>
        <item x="96"/>
        <item x="568"/>
        <item x="453"/>
        <item x="172"/>
        <item x="309"/>
        <item x="701"/>
        <item x="37"/>
        <item x="440"/>
        <item x="70"/>
        <item x="951"/>
        <item x="919"/>
        <item x="534"/>
        <item x="828"/>
        <item x="826"/>
        <item x="985"/>
        <item x="263"/>
        <item x="482"/>
        <item x="139"/>
        <item x="356"/>
        <item x="404"/>
        <item x="911"/>
        <item x="835"/>
        <item x="463"/>
        <item x="877"/>
        <item x="401"/>
        <item x="439"/>
        <item x="552"/>
        <item x="921"/>
        <item x="471"/>
        <item x="57"/>
        <item x="946"/>
        <item x="188"/>
        <item x="690"/>
        <item x="605"/>
        <item x="149"/>
        <item x="616"/>
        <item x="751"/>
        <item x="811"/>
        <item x="468"/>
        <item x="555"/>
        <item x="947"/>
        <item x="617"/>
        <item x="414"/>
        <item x="402"/>
        <item x="264"/>
        <item x="156"/>
        <item x="817"/>
        <item x="299"/>
        <item x="252"/>
        <item x="917"/>
        <item x="353"/>
        <item x="2"/>
        <item x="983"/>
        <item x="887"/>
        <item x="267"/>
        <item x="694"/>
        <item x="255"/>
        <item x="674"/>
        <item x="152"/>
        <item x="349"/>
        <item x="126"/>
        <item x="384"/>
        <item x="497"/>
        <item x="969"/>
        <item x="140"/>
        <item x="373"/>
        <item x="291"/>
        <item x="890"/>
        <item x="6"/>
        <item x="479"/>
        <item x="46"/>
        <item x="924"/>
        <item x="595"/>
        <item x="526"/>
        <item x="557"/>
        <item x="161"/>
        <item x="109"/>
        <item x="106"/>
        <item x="483"/>
        <item x="733"/>
        <item x="871"/>
        <item x="73"/>
        <item x="798"/>
        <item x="389"/>
        <item x="381"/>
        <item x="675"/>
        <item x="730"/>
        <item x="600"/>
        <item x="724"/>
        <item x="472"/>
        <item x="596"/>
        <item x="394"/>
        <item x="415"/>
        <item x="457"/>
        <item x="878"/>
        <item x="818"/>
        <item x="9"/>
        <item x="984"/>
        <item x="854"/>
        <item x="667"/>
        <item x="855"/>
        <item x="809"/>
        <item x="662"/>
        <item x="268"/>
        <item x="451"/>
        <item x="648"/>
        <item x="508"/>
        <item x="184"/>
        <item x="235"/>
        <item x="24"/>
        <item x="927"/>
        <item x="963"/>
        <item x="239"/>
        <item x="592"/>
        <item x="837"/>
        <item x="458"/>
        <item x="475"/>
        <item x="898"/>
        <item x="541"/>
        <item x="566"/>
        <item x="31"/>
        <item x="141"/>
        <item x="903"/>
        <item x="977"/>
        <item x="972"/>
        <item x="484"/>
        <item x="47"/>
        <item x="196"/>
        <item x="97"/>
        <item x="293"/>
        <item x="637"/>
        <item x="27"/>
        <item x="368"/>
        <item x="65"/>
        <item x="572"/>
        <item x="485"/>
        <item x="671"/>
        <item x="343"/>
        <item x="558"/>
        <item x="424"/>
        <item x="374"/>
        <item x="228"/>
        <item x="396"/>
        <item x="569"/>
        <item x="503"/>
        <item x="117"/>
        <item x="142"/>
        <item x="165"/>
        <item x="207"/>
        <item x="93"/>
        <item x="300"/>
        <item x="320"/>
        <item x="912"/>
        <item x="321"/>
        <item x="553"/>
        <item x="829"/>
        <item x="663"/>
        <item x="812"/>
        <item x="652"/>
        <item x="736"/>
        <item x="561"/>
        <item x="664"/>
        <item x="601"/>
        <item x="593"/>
        <item x="631"/>
        <item x="437"/>
        <item x="222"/>
        <item x="230"/>
        <item x="830"/>
        <item x="217"/>
        <item x="292"/>
        <item x="331"/>
        <item x="538"/>
        <item x="166"/>
        <item x="7"/>
        <item x="527"/>
        <item x="33"/>
        <item x="84"/>
        <item x="181"/>
        <item x="805"/>
        <item x="737"/>
        <item x="418"/>
        <item x="929"/>
        <item x="71"/>
        <item x="354"/>
        <item x="147"/>
        <item x="686"/>
        <item x="544"/>
        <item x="588"/>
        <item x="443"/>
        <item x="899"/>
        <item x="707"/>
        <item x="819"/>
        <item x="659"/>
        <item x="948"/>
        <item x="872"/>
        <item x="429"/>
        <item x="589"/>
        <item x="94"/>
        <item x="760"/>
        <item x="743"/>
        <item x="202"/>
        <item x="111"/>
        <item x="618"/>
        <item x="100"/>
        <item x="576"/>
        <item x="405"/>
        <item x="745"/>
        <item x="638"/>
        <item x="535"/>
        <item x="639"/>
        <item x="66"/>
        <item x="38"/>
        <item x="113"/>
        <item x="823"/>
        <item x="416"/>
        <item x="654"/>
        <item x="259"/>
        <item x="930"/>
        <item x="773"/>
        <item x="182"/>
        <item x="365"/>
        <item x="212"/>
        <item x="444"/>
        <item x="957"/>
        <item x="920"/>
        <item x="821"/>
        <item x="464"/>
        <item x="88"/>
        <item x="260"/>
        <item x="574"/>
        <item x="253"/>
        <item x="794"/>
        <item x="976"/>
        <item x="665"/>
        <item x="376"/>
        <item x="964"/>
        <item x="938"/>
        <item x="189"/>
        <item x="810"/>
        <item x="611"/>
        <item x="131"/>
        <item x="509"/>
        <item x="25"/>
        <item x="746"/>
        <item x="8"/>
        <item x="412"/>
        <item x="645"/>
        <item x="474"/>
        <item x="624"/>
        <item x="913"/>
        <item x="327"/>
        <item x="738"/>
        <item x="660"/>
        <item x="668"/>
        <item x="246"/>
        <item x="282"/>
        <item x="542"/>
        <item x="208"/>
        <item x="223"/>
        <item x="799"/>
        <item x="294"/>
        <item x="310"/>
        <item x="766"/>
        <item x="747"/>
        <item x="904"/>
        <item x="122"/>
        <item x="702"/>
        <item x="80"/>
        <item x="987"/>
        <item x="986"/>
        <item x="859"/>
        <item x="135"/>
        <item x="900"/>
        <item x="26"/>
        <item x="883"/>
        <item x="939"/>
        <item x="295"/>
        <item x="261"/>
        <item x="621"/>
        <item x="756"/>
        <item x="0"/>
        <item x="203"/>
        <item x="813"/>
        <item x="943"/>
        <item x="151"/>
        <item x="978"/>
        <item x="491"/>
        <item x="891"/>
        <item x="895"/>
        <item x="452"/>
        <item x="562"/>
        <item x="889"/>
        <item x="866"/>
        <item x="158"/>
        <item x="419"/>
        <item x="200"/>
        <item x="814"/>
        <item x="928"/>
        <item x="322"/>
        <item x="162"/>
        <item x="570"/>
        <item x="536"/>
        <item x="573"/>
        <item x="554"/>
        <item x="194"/>
        <item x="480"/>
        <item x="43"/>
        <item x="390"/>
        <item x="55"/>
        <item x="649"/>
        <item x="914"/>
        <item x="247"/>
        <item x="486"/>
        <item x="857"/>
        <item x="101"/>
        <item x="528"/>
        <item x="695"/>
        <item x="377"/>
        <item x="510"/>
        <item x="892"/>
        <item x="514"/>
        <item x="329"/>
        <item x="543"/>
        <item x="982"/>
        <item x="661"/>
        <item x="213"/>
        <item x="123"/>
        <item x="445"/>
        <item x="167"/>
        <item x="715"/>
        <item x="244"/>
        <item x="850"/>
        <item x="159"/>
        <item x="502"/>
        <item x="143"/>
        <item x="845"/>
        <item x="28"/>
        <item x="195"/>
        <item x="220"/>
        <item x="548"/>
        <item x="318"/>
        <item x="425"/>
        <item x="311"/>
        <item x="583"/>
        <item x="767"/>
        <item x="231"/>
        <item x="240"/>
        <item x="236"/>
        <item x="575"/>
        <item x="391"/>
        <item x="3"/>
        <item x="716"/>
        <item x="160"/>
        <item x="584"/>
        <item x="822"/>
        <item x="14"/>
        <item x="655"/>
        <item x="127"/>
        <item x="433"/>
        <item x="366"/>
        <item x="357"/>
        <item x="248"/>
        <item x="625"/>
        <item x="206"/>
        <item x="958"/>
        <item x="789"/>
        <item x="34"/>
        <item x="884"/>
        <item x="67"/>
        <item x="19"/>
        <item x="998"/>
        <item x="274"/>
        <item x="841"/>
        <item x="679"/>
        <item x="867"/>
        <item x="824"/>
        <item x="148"/>
        <item x="128"/>
        <item x="703"/>
        <item x="170"/>
        <item x="815"/>
        <item x="224"/>
        <item x="32"/>
        <item x="448"/>
        <item x="304"/>
        <item x="262"/>
        <item x="201"/>
        <item x="336"/>
        <item x="633"/>
        <item x="286"/>
        <item x="408"/>
        <item x="606"/>
        <item x="795"/>
        <item x="559"/>
        <item x="656"/>
        <item x="560"/>
        <item x="842"/>
        <item x="777"/>
        <item x="769"/>
        <item x="846"/>
        <item x="634"/>
        <item x="361"/>
        <item x="476"/>
        <item x="684"/>
        <item x="657"/>
        <item x="757"/>
        <item x="691"/>
        <item x="622"/>
        <item x="758"/>
        <item x="345"/>
        <item x="993"/>
        <item x="132"/>
        <item x="729"/>
        <item x="426"/>
        <item x="524"/>
        <item x="863"/>
        <item x="934"/>
        <item x="677"/>
        <item x="893"/>
        <item x="905"/>
        <item x="672"/>
        <item x="20"/>
        <item x="676"/>
        <item x="796"/>
        <item x="430"/>
        <item x="369"/>
        <item x="790"/>
        <item x="706"/>
        <item x="492"/>
        <item x="640"/>
        <item x="880"/>
        <item x="931"/>
        <item x="39"/>
        <item x="906"/>
        <item x="831"/>
        <item x="952"/>
        <item x="301"/>
        <item x="495"/>
        <item x="803"/>
        <item x="102"/>
        <item x="932"/>
        <item x="725"/>
        <item x="465"/>
        <item x="511"/>
        <item x="752"/>
        <item x="602"/>
        <item x="786"/>
        <item x="249"/>
        <item x="496"/>
        <item x="22"/>
        <item x="204"/>
        <item x="242"/>
        <item x="940"/>
        <item x="999"/>
        <item x="516"/>
        <item x="806"/>
        <item x="265"/>
        <item x="173"/>
        <item x="791"/>
        <item x="761"/>
        <item x="692"/>
        <item x="35"/>
        <item x="15"/>
        <item x="153"/>
        <item x="302"/>
        <item x="504"/>
        <item x="378"/>
        <item x="499"/>
        <item x="459"/>
        <item x="305"/>
        <item x="328"/>
        <item x="370"/>
        <item x="641"/>
        <item x="781"/>
        <item x="163"/>
        <item x="89"/>
        <item x="873"/>
        <item x="74"/>
        <item x="447"/>
        <item x="487"/>
        <item x="726"/>
        <item x="897"/>
        <item x="337"/>
        <item x="748"/>
        <item x="965"/>
        <item x="626"/>
        <item x="894"/>
        <item x="225"/>
        <item x="197"/>
        <item x="973"/>
        <item x="843"/>
        <item x="836"/>
        <item x="721"/>
        <item x="922"/>
        <item x="609"/>
        <item x="852"/>
        <item x="860"/>
        <item x="421"/>
        <item x="970"/>
        <item x="971"/>
        <item x="330"/>
        <item x="556"/>
        <item x="685"/>
        <item x="627"/>
        <item x="739"/>
        <item x="276"/>
        <item x="925"/>
        <item x="269"/>
        <item x="936"/>
        <item x="10"/>
        <item x="118"/>
        <item x="312"/>
        <item x="512"/>
        <item x="597"/>
        <item x="696"/>
        <item x="95"/>
        <item x="332"/>
        <item x="693"/>
        <item x="409"/>
        <item x="346"/>
        <item x="177"/>
        <item x="211"/>
        <item x="40"/>
        <item x="114"/>
        <item x="740"/>
        <item x="75"/>
        <item x="85"/>
        <item x="454"/>
        <item x="515"/>
        <item x="58"/>
        <item x="578"/>
        <item x="214"/>
        <item x="697"/>
        <item x="529"/>
        <item x="847"/>
        <item x="338"/>
        <item x="256"/>
        <item x="727"/>
        <item x="549"/>
        <item x="119"/>
        <item x="371"/>
        <item x="313"/>
        <item x="434"/>
        <item x="250"/>
        <item x="257"/>
        <item x="687"/>
        <item x="461"/>
        <item x="959"/>
        <item x="395"/>
        <item x="741"/>
        <item x="827"/>
        <item x="838"/>
        <item x="469"/>
        <item x="164"/>
        <item x="954"/>
        <item x="839"/>
        <item x="717"/>
        <item x="410"/>
        <item x="133"/>
        <item x="283"/>
        <item x="861"/>
        <item x="271"/>
        <item x="782"/>
        <item x="530"/>
        <item x="856"/>
        <item x="284"/>
        <item x="110"/>
        <item x="953"/>
        <item x="50"/>
        <item x="960"/>
        <item x="537"/>
        <item x="473"/>
        <item x="362"/>
        <item x="98"/>
        <item x="787"/>
        <item x="753"/>
        <item x="41"/>
        <item x="422"/>
        <item x="988"/>
        <item x="61"/>
        <item x="397"/>
        <item x="72"/>
        <item x="990"/>
        <item x="774"/>
        <item x="607"/>
        <item x="435"/>
        <item x="888"/>
        <item x="90"/>
        <item x="218"/>
        <item x="285"/>
        <item x="517"/>
        <item x="215"/>
        <item x="372"/>
        <item x="518"/>
        <item x="16"/>
        <item x="427"/>
        <item x="844"/>
        <item x="521"/>
        <item x="375"/>
        <item x="296"/>
        <item x="178"/>
        <item x="832"/>
        <item x="288"/>
        <item x="612"/>
        <item x="820"/>
        <item x="17"/>
        <item x="728"/>
        <item x="56"/>
        <item x="4"/>
        <item x="53"/>
        <item x="272"/>
        <item x="59"/>
        <item x="594"/>
        <item x="720"/>
        <item x="138"/>
        <item x="673"/>
        <item x="466"/>
        <item x="989"/>
        <item x="688"/>
        <item x="171"/>
        <item x="579"/>
        <item x="763"/>
        <item x="403"/>
        <item x="179"/>
        <item x="967"/>
        <item x="306"/>
        <item x="266"/>
        <item x="417"/>
        <item x="698"/>
        <item x="580"/>
        <item x="851"/>
        <item x="968"/>
        <item x="460"/>
        <item x="277"/>
        <item x="966"/>
        <item x="879"/>
        <item x="711"/>
        <item x="864"/>
        <item x="103"/>
        <item x="355"/>
        <item x="944"/>
        <item x="644"/>
        <item x="398"/>
        <item x="251"/>
        <item x="180"/>
        <item x="585"/>
        <item x="392"/>
        <item x="792"/>
        <item x="237"/>
        <item x="991"/>
        <item x="995"/>
        <item x="567"/>
        <item x="709"/>
        <item x="749"/>
        <item x="754"/>
        <item x="107"/>
        <item x="651"/>
        <item x="531"/>
        <item x="874"/>
        <item x="319"/>
        <item x="29"/>
        <item x="550"/>
        <item x="699"/>
        <item x="488"/>
        <item x="350"/>
        <item x="762"/>
        <item x="243"/>
        <item x="907"/>
        <item x="168"/>
        <item x="91"/>
        <item x="825"/>
        <item x="481"/>
        <item x="281"/>
        <item x="323"/>
        <item x="678"/>
        <item x="62"/>
        <item x="367"/>
        <item x="11"/>
        <item x="187"/>
        <item x="477"/>
        <item x="470"/>
        <item x="315"/>
        <item x="386"/>
        <item x="710"/>
        <item x="76"/>
        <item x="324"/>
        <item x="104"/>
        <item x="198"/>
        <item x="199"/>
        <item x="278"/>
        <item x="77"/>
        <item x="325"/>
        <item x="183"/>
        <item x="770"/>
        <item x="680"/>
        <item x="722"/>
        <item x="150"/>
        <item x="254"/>
        <item x="154"/>
        <item x="273"/>
        <item x="681"/>
        <item x="407"/>
        <item x="896"/>
        <item x="742"/>
        <item x="190"/>
        <item x="86"/>
        <item x="862"/>
        <item x="642"/>
        <item x="44"/>
        <item x="759"/>
        <item x="563"/>
        <item x="81"/>
        <item x="875"/>
        <item x="232"/>
        <item x="783"/>
        <item x="808"/>
        <item x="635"/>
        <item x="462"/>
        <item x="1"/>
        <item x="393"/>
        <item x="731"/>
        <item x="144"/>
        <item x="87"/>
        <item x="498"/>
        <item x="275"/>
        <item x="233"/>
        <item x="505"/>
        <item x="436"/>
        <item x="287"/>
        <item x="519"/>
        <item x="30"/>
        <item x="522"/>
        <item x="326"/>
        <item x="51"/>
        <item x="279"/>
        <item x="590"/>
        <item x="908"/>
        <item x="704"/>
        <item x="297"/>
        <item x="632"/>
        <item x="797"/>
        <item x="145"/>
        <item x="136"/>
        <item x="750"/>
        <item x="945"/>
        <item x="289"/>
        <item x="358"/>
        <item x="36"/>
        <item x="185"/>
        <item x="744"/>
        <item x="146"/>
        <item x="712"/>
        <item x="603"/>
        <item x="876"/>
        <item x="467"/>
        <item x="994"/>
        <item x="316"/>
        <item x="441"/>
        <item x="646"/>
        <item x="643"/>
        <item x="513"/>
        <item x="191"/>
        <item x="598"/>
        <item x="379"/>
        <item x="120"/>
        <item x="411"/>
        <item x="901"/>
        <item x="92"/>
        <item x="623"/>
        <item x="420"/>
        <item x="78"/>
        <item x="713"/>
        <item x="333"/>
        <item t="default"/>
      </items>
    </pivotField>
    <pivotField dataField="1" numFmtId="177" showAll="0">
      <items count="342"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>
      <items count="14">
        <item x="4"/>
        <item x="12"/>
        <item x="6"/>
        <item x="7"/>
        <item x="8"/>
        <item x="5"/>
        <item x="2"/>
        <item x="11"/>
        <item x="9"/>
        <item x="10"/>
        <item x="3"/>
        <item x="0"/>
        <item x="1"/>
        <item t="default"/>
      </items>
    </pivotField>
    <pivotField showAll="0"/>
    <pivotField numFmtId="176" showAll="0"/>
    <pivotField numFmtId="176" showAll="0"/>
    <pivotField numFmtId="176" showAll="0"/>
    <pivotField showAll="0">
      <items count="4">
        <item x="2"/>
        <item x="1"/>
        <item x="0"/>
        <item t="default"/>
      </items>
    </pivotField>
    <pivotField dataField="1" defaultSubtotal="0" showAl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defaultSubtotal="0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Days (Date)" fld="11" subtotal="count" baseField="0" baseItem="0"/>
    <dataField name="Count of Date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est_Category" sourceName="Test Category">
  <pivotTables>
    <pivotTable tabId="18" name="PivotTable29"/>
    <pivotTable tabId="8" name="PivotTable28"/>
    <pivotTable tabId="9" name="PivotTable28"/>
    <pivotTable tabId="10" name="PivotTable28"/>
    <pivotTable tabId="7" name="PivotTable28"/>
    <pivotTable tabId="6" name="PivotTable28"/>
    <pivotTable tabId="5" name="PivotTable28"/>
    <pivotTable tabId="4" name="PivotTable28"/>
  </pivotTables>
  <data>
    <tabular pivotCacheId="1">
      <items count="4">
        <i x="1" s="1"/>
        <i x="3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ranch" sourceName="Branch">
  <pivotTables>
    <pivotTable tabId="18" name="PivotTable29"/>
    <pivotTable tabId="8" name="PivotTable28"/>
    <pivotTable tabId="9" name="PivotTable28"/>
    <pivotTable tabId="10" name="PivotTable28"/>
    <pivotTable tabId="7" name="PivotTable28"/>
    <pivotTable tabId="6" name="PivotTable28"/>
    <pivotTable tabId="5" name="PivotTable28"/>
    <pivotTable tabId="4" name="PivotTable28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tient_Type" sourceName="Patient Type">
  <pivotTables>
    <pivotTable tabId="18" name="PivotTable29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s__Date" sourceName="Months (Date)">
  <pivotTables>
    <pivotTable tabId="18" name="PivotTable29"/>
    <pivotTable tabId="8" name="PivotTable28"/>
    <pivotTable tabId="9" name="PivotTable28"/>
    <pivotTable tabId="10" name="PivotTable28"/>
    <pivotTable tabId="7" name="PivotTable28"/>
    <pivotTable tabId="6" name="PivotTable28"/>
    <pivotTable tabId="5" name="PivotTable28"/>
    <pivotTable tabId="4" name="PivotTable28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_Method" sourceName="Payment  Method">
  <pivotTables>
    <pivotTable tabId="18" name="PivotTable29"/>
    <pivotTable tabId="8" name="PivotTable28"/>
    <pivotTable tabId="9" name="PivotTable28"/>
    <pivotTable tabId="10" name="PivotTable28"/>
    <pivotTable tabId="7" name="PivotTable28"/>
    <pivotTable tabId="6" name="PivotTable28"/>
    <pivotTable tabId="5" name="PivotTable28"/>
    <pivotTable tabId="4" name="PivotTable28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  Method 3" cache="Slicer_Payment__Method" caption="Payment  Method" rowHeight="273050"/>
  <slicer name="Months (Date) 4" cache="Slicer_Months__Date" caption="Months" columnCount="2" rowHeight="273050"/>
  <slicer name="Branch 1" cache="Slicer_Branch" caption="Branch" rowHeight="273050"/>
  <slicer name="Test Category 1" cache="Slicer_Test_Category" caption="Department" rowHeight="2730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  Method 2" cache="Slicer_Payment__Method" caption="Payment  Method" rowHeight="273050"/>
  <slicer name="Months (Date) 3" cache="Slicer_Months__Date" caption="Months (Date)" columnCount="2" rowHeight="273050"/>
  <slicer name="Patient Type" cache="Slicer_Patient_Type" caption="Patient Type" rowHeight="273050"/>
  <slicer name="Branch" cache="Slicer_Branch" caption="Branch" rowHeight="273050"/>
  <slicer name="Test Category" cache="Slicer_Test_Category" caption="Test Category" rowHeight="273050"/>
</slicers>
</file>

<file path=xl/tables/table1.xml><?xml version="1.0" encoding="utf-8"?>
<table xmlns="http://schemas.openxmlformats.org/spreadsheetml/2006/main" id="3" name="Table3" displayName="Table3" ref="E3:F6" totalsRowShown="0">
  <autoFilter xmlns:etc="http://www.wps.cn/officeDocument/2017/etCustomData" ref="E3:F6" etc:filterBottomFollowUsedRange="0"/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K1001" totalsRowShown="0">
  <autoFilter xmlns:etc="http://www.wps.cn/officeDocument/2017/etCustomData" ref="A1:K1001" etc:filterBottomFollowUsedRange="0"/>
  <sortState ref="A1:K1001">
    <sortCondition ref="B1:B1001" descending="1"/>
  </sortState>
  <tableColumns count="11">
    <tableColumn id="1" name="Transaction ID"/>
    <tableColumn id="2" name="Date" dataDxfId="6"/>
    <tableColumn id="3" name="Patient Type"/>
    <tableColumn id="4" name="Branch"/>
    <tableColumn id="5" name="Test Category"/>
    <tableColumn id="6" name="Test Name"/>
    <tableColumn id="7" name="Quantity"/>
    <tableColumn id="8" name="Test Price" dataDxfId="7"/>
    <tableColumn id="9" name="Reagent Cost" dataDxfId="8"/>
    <tableColumn id="10" name="Revenue" dataDxfId="9"/>
    <tableColumn id="11" name="Payment 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4"/>
  <sheetViews>
    <sheetView showGridLines="0" tabSelected="1" zoomScale="65" zoomScaleNormal="65" topLeftCell="A10" workbookViewId="0">
      <selection activeCell="A25" sqref="A25"/>
    </sheetView>
  </sheetViews>
  <sheetFormatPr defaultColWidth="9" defaultRowHeight="14.25" outlineLevelRow="3"/>
  <cols>
    <col min="1" max="1" width="3.5" customWidth="1"/>
    <col min="2" max="2" width="8.625" customWidth="1"/>
    <col min="6" max="6" width="3.375" customWidth="1"/>
    <col min="8" max="8" width="8.375" customWidth="1"/>
    <col min="9" max="9" width="3.375" customWidth="1"/>
    <col min="10" max="10" width="9" customWidth="1"/>
    <col min="12" max="12" width="3.5" customWidth="1"/>
    <col min="14" max="14" width="8.875" customWidth="1"/>
    <col min="15" max="15" width="3.125" customWidth="1"/>
    <col min="18" max="18" width="3.125" customWidth="1"/>
    <col min="21" max="21" width="3.125" customWidth="1"/>
    <col min="22" max="22" width="8.125" customWidth="1"/>
    <col min="23" max="23" width="9.75" customWidth="1"/>
    <col min="24" max="24" width="3.125" customWidth="1"/>
  </cols>
  <sheetData>
    <row r="1" ht="12" customHeight="1"/>
    <row r="2" ht="45" customHeight="1" spans="2:33">
      <c r="B2" s="9"/>
      <c r="C2" s="10" t="s">
        <v>0</v>
      </c>
      <c r="D2" s="10"/>
      <c r="E2" s="9"/>
      <c r="F2" s="9"/>
      <c r="G2" s="11"/>
      <c r="H2" s="11"/>
      <c r="I2" s="11"/>
      <c r="J2" s="11"/>
      <c r="K2" s="11"/>
      <c r="L2" s="11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2"/>
      <c r="AB2" s="12"/>
      <c r="AC2" s="12"/>
      <c r="AD2" s="12"/>
      <c r="AE2" s="9"/>
      <c r="AF2" s="9"/>
      <c r="AG2" s="9"/>
    </row>
    <row r="4" ht="68.25" customHeight="1"/>
  </sheetData>
  <mergeCells count="1">
    <mergeCell ref="AA2:AD2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004"/>
  <sheetViews>
    <sheetView workbookViewId="0">
      <selection activeCell="F43" sqref="F43"/>
    </sheetView>
  </sheetViews>
  <sheetFormatPr defaultColWidth="9" defaultRowHeight="14.25" outlineLevelCol="5"/>
  <cols>
    <col min="1" max="1" width="12.25"/>
    <col min="2" max="2" width="14.625"/>
    <col min="5" max="5" width="20" customWidth="1"/>
    <col min="6" max="6" width="14.625" customWidth="1"/>
  </cols>
  <sheetData>
    <row r="3" spans="1:6">
      <c r="A3" t="s">
        <v>1</v>
      </c>
      <c r="B3" t="s">
        <v>2</v>
      </c>
      <c r="E3" t="s">
        <v>3</v>
      </c>
      <c r="F3" s="4" t="s">
        <v>4</v>
      </c>
    </row>
    <row r="4" spans="1:6">
      <c r="A4" s="6" t="s">
        <v>5</v>
      </c>
      <c r="B4" s="1">
        <v>4000</v>
      </c>
      <c r="E4" t="s">
        <v>6</v>
      </c>
      <c r="F4" s="4">
        <v>5604000</v>
      </c>
    </row>
    <row r="5" spans="1:6">
      <c r="A5" s="6" t="s">
        <v>7</v>
      </c>
      <c r="B5" s="1">
        <v>2500</v>
      </c>
      <c r="E5" t="s">
        <v>8</v>
      </c>
      <c r="F5" s="4">
        <v>1250</v>
      </c>
    </row>
    <row r="6" spans="1:6">
      <c r="A6" s="6" t="s">
        <v>9</v>
      </c>
      <c r="B6" s="1">
        <v>5000</v>
      </c>
      <c r="E6" t="s">
        <v>10</v>
      </c>
      <c r="F6" s="8">
        <f>F4/F5</f>
        <v>4483.2</v>
      </c>
    </row>
    <row r="7" spans="1:2">
      <c r="A7" s="6" t="s">
        <v>11</v>
      </c>
      <c r="B7" s="1">
        <v>2500</v>
      </c>
    </row>
    <row r="8" spans="1:2">
      <c r="A8" s="6" t="s">
        <v>12</v>
      </c>
      <c r="B8" s="1">
        <v>10000</v>
      </c>
    </row>
    <row r="9" spans="1:2">
      <c r="A9" s="6" t="s">
        <v>13</v>
      </c>
      <c r="B9" s="1">
        <v>3000</v>
      </c>
    </row>
    <row r="10" spans="1:2">
      <c r="A10" s="6" t="s">
        <v>14</v>
      </c>
      <c r="B10" s="1">
        <v>7000</v>
      </c>
    </row>
    <row r="11" spans="1:2">
      <c r="A11" s="6" t="s">
        <v>15</v>
      </c>
      <c r="B11" s="1">
        <v>7500</v>
      </c>
    </row>
    <row r="12" spans="1:2">
      <c r="A12" s="6" t="s">
        <v>16</v>
      </c>
      <c r="B12" s="1">
        <v>3000</v>
      </c>
    </row>
    <row r="13" spans="1:2">
      <c r="A13" s="6" t="s">
        <v>17</v>
      </c>
      <c r="B13" s="1">
        <v>2500</v>
      </c>
    </row>
    <row r="14" spans="1:2">
      <c r="A14" s="6" t="s">
        <v>18</v>
      </c>
      <c r="B14" s="1">
        <v>2500</v>
      </c>
    </row>
    <row r="15" spans="1:2">
      <c r="A15" s="6" t="s">
        <v>19</v>
      </c>
      <c r="B15" s="1">
        <v>2500</v>
      </c>
    </row>
    <row r="16" spans="1:2">
      <c r="A16" s="6" t="s">
        <v>20</v>
      </c>
      <c r="B16" s="1">
        <v>4000</v>
      </c>
    </row>
    <row r="17" spans="1:2">
      <c r="A17" s="6" t="s">
        <v>21</v>
      </c>
      <c r="B17" s="1">
        <v>4000</v>
      </c>
    </row>
    <row r="18" spans="1:2">
      <c r="A18" s="6" t="s">
        <v>22</v>
      </c>
      <c r="B18" s="1">
        <v>6000</v>
      </c>
    </row>
    <row r="19" spans="1:2">
      <c r="A19" s="6" t="s">
        <v>23</v>
      </c>
      <c r="B19" s="1">
        <v>6000</v>
      </c>
    </row>
    <row r="20" spans="1:2">
      <c r="A20" s="6" t="s">
        <v>24</v>
      </c>
      <c r="B20" s="1">
        <v>2500</v>
      </c>
    </row>
    <row r="21" spans="1:2">
      <c r="A21" s="6" t="s">
        <v>25</v>
      </c>
      <c r="B21" s="1">
        <v>7500</v>
      </c>
    </row>
    <row r="22" spans="1:2">
      <c r="A22" s="6" t="s">
        <v>26</v>
      </c>
      <c r="B22" s="1">
        <v>8000</v>
      </c>
    </row>
    <row r="23" spans="1:2">
      <c r="A23" s="6" t="s">
        <v>27</v>
      </c>
      <c r="B23" s="1">
        <v>3000</v>
      </c>
    </row>
    <row r="24" spans="1:2">
      <c r="A24" s="6" t="s">
        <v>28</v>
      </c>
      <c r="B24" s="1">
        <v>2500</v>
      </c>
    </row>
    <row r="25" spans="1:2">
      <c r="A25" s="6" t="s">
        <v>29</v>
      </c>
      <c r="B25" s="1">
        <v>8000</v>
      </c>
    </row>
    <row r="26" spans="1:2">
      <c r="A26" s="6" t="s">
        <v>30</v>
      </c>
      <c r="B26" s="1">
        <v>3000</v>
      </c>
    </row>
    <row r="27" spans="1:2">
      <c r="A27" s="6" t="s">
        <v>31</v>
      </c>
      <c r="B27" s="1">
        <v>6000</v>
      </c>
    </row>
    <row r="28" spans="1:2">
      <c r="A28" s="6" t="s">
        <v>32</v>
      </c>
      <c r="B28" s="1">
        <v>12000</v>
      </c>
    </row>
    <row r="29" spans="1:2">
      <c r="A29" s="6" t="s">
        <v>33</v>
      </c>
      <c r="B29" s="1">
        <v>4000</v>
      </c>
    </row>
    <row r="30" spans="1:2">
      <c r="A30" s="6" t="s">
        <v>34</v>
      </c>
      <c r="B30" s="1">
        <v>8000</v>
      </c>
    </row>
    <row r="31" spans="1:2">
      <c r="A31" s="6" t="s">
        <v>35</v>
      </c>
      <c r="B31" s="1">
        <v>5000</v>
      </c>
    </row>
    <row r="32" spans="1:2">
      <c r="A32" s="6" t="s">
        <v>36</v>
      </c>
      <c r="B32" s="1">
        <v>4000</v>
      </c>
    </row>
    <row r="33" spans="1:2">
      <c r="A33" s="6" t="s">
        <v>37</v>
      </c>
      <c r="B33" s="1">
        <v>3000</v>
      </c>
    </row>
    <row r="34" spans="1:2">
      <c r="A34" s="6" t="s">
        <v>38</v>
      </c>
      <c r="B34" s="1">
        <v>6000</v>
      </c>
    </row>
    <row r="35" spans="1:2">
      <c r="A35" s="6" t="s">
        <v>39</v>
      </c>
      <c r="B35" s="1">
        <v>3000</v>
      </c>
    </row>
    <row r="36" spans="1:2">
      <c r="A36" s="6" t="s">
        <v>40</v>
      </c>
      <c r="B36" s="1">
        <v>2500</v>
      </c>
    </row>
    <row r="37" spans="1:2">
      <c r="A37" s="6" t="s">
        <v>41</v>
      </c>
      <c r="B37" s="1">
        <v>6000</v>
      </c>
    </row>
    <row r="38" spans="1:2">
      <c r="A38" s="6" t="s">
        <v>42</v>
      </c>
      <c r="B38" s="1">
        <v>12000</v>
      </c>
    </row>
    <row r="39" spans="1:2">
      <c r="A39" s="6" t="s">
        <v>43</v>
      </c>
      <c r="B39" s="1">
        <v>2500</v>
      </c>
    </row>
    <row r="40" spans="1:2">
      <c r="A40" s="6" t="s">
        <v>44</v>
      </c>
      <c r="B40" s="1">
        <v>6000</v>
      </c>
    </row>
    <row r="41" spans="1:2">
      <c r="A41" s="6" t="s">
        <v>45</v>
      </c>
      <c r="B41" s="1">
        <v>8000</v>
      </c>
    </row>
    <row r="42" spans="1:2">
      <c r="A42" s="6" t="s">
        <v>46</v>
      </c>
      <c r="B42" s="1">
        <v>2500</v>
      </c>
    </row>
    <row r="43" spans="1:2">
      <c r="A43" s="6" t="s">
        <v>47</v>
      </c>
      <c r="B43" s="1">
        <v>2500</v>
      </c>
    </row>
    <row r="44" spans="1:2">
      <c r="A44" s="6" t="s">
        <v>48</v>
      </c>
      <c r="B44" s="1">
        <v>2500</v>
      </c>
    </row>
    <row r="45" spans="1:2">
      <c r="A45" s="6" t="s">
        <v>49</v>
      </c>
      <c r="B45" s="1">
        <v>6000</v>
      </c>
    </row>
    <row r="46" spans="1:2">
      <c r="A46" s="6" t="s">
        <v>50</v>
      </c>
      <c r="B46" s="1">
        <v>2500</v>
      </c>
    </row>
    <row r="47" spans="1:2">
      <c r="A47" s="6" t="s">
        <v>51</v>
      </c>
      <c r="B47" s="1">
        <v>15000</v>
      </c>
    </row>
    <row r="48" spans="1:2">
      <c r="A48" s="6" t="s">
        <v>52</v>
      </c>
      <c r="B48" s="1">
        <v>2500</v>
      </c>
    </row>
    <row r="49" spans="1:2">
      <c r="A49" s="6" t="s">
        <v>53</v>
      </c>
      <c r="B49" s="1">
        <v>2500</v>
      </c>
    </row>
    <row r="50" spans="1:2">
      <c r="A50" s="6" t="s">
        <v>54</v>
      </c>
      <c r="B50" s="1">
        <v>7500</v>
      </c>
    </row>
    <row r="51" spans="1:2">
      <c r="A51" s="6" t="s">
        <v>55</v>
      </c>
      <c r="B51" s="1">
        <v>3000</v>
      </c>
    </row>
    <row r="52" spans="1:2">
      <c r="A52" s="6" t="s">
        <v>56</v>
      </c>
      <c r="B52" s="1">
        <v>2500</v>
      </c>
    </row>
    <row r="53" spans="1:2">
      <c r="A53" s="6" t="s">
        <v>57</v>
      </c>
      <c r="B53" s="1">
        <v>5000</v>
      </c>
    </row>
    <row r="54" spans="1:2">
      <c r="A54" s="6" t="s">
        <v>58</v>
      </c>
      <c r="B54" s="1">
        <v>7500</v>
      </c>
    </row>
    <row r="55" spans="1:2">
      <c r="A55" s="6" t="s">
        <v>59</v>
      </c>
      <c r="B55" s="1">
        <v>10000</v>
      </c>
    </row>
    <row r="56" spans="1:2">
      <c r="A56" s="6" t="s">
        <v>60</v>
      </c>
      <c r="B56" s="1">
        <v>5000</v>
      </c>
    </row>
    <row r="57" spans="1:2">
      <c r="A57" s="6" t="s">
        <v>61</v>
      </c>
      <c r="B57" s="1">
        <v>3000</v>
      </c>
    </row>
    <row r="58" spans="1:2">
      <c r="A58" s="6" t="s">
        <v>62</v>
      </c>
      <c r="B58" s="1">
        <v>2500</v>
      </c>
    </row>
    <row r="59" spans="1:2">
      <c r="A59" s="6" t="s">
        <v>63</v>
      </c>
      <c r="B59" s="1">
        <v>6000</v>
      </c>
    </row>
    <row r="60" spans="1:2">
      <c r="A60" s="6" t="s">
        <v>64</v>
      </c>
      <c r="B60" s="1">
        <v>5000</v>
      </c>
    </row>
    <row r="61" spans="1:2">
      <c r="A61" s="6" t="s">
        <v>65</v>
      </c>
      <c r="B61" s="1">
        <v>8000</v>
      </c>
    </row>
    <row r="62" spans="1:2">
      <c r="A62" s="6" t="s">
        <v>66</v>
      </c>
      <c r="B62" s="1">
        <v>2500</v>
      </c>
    </row>
    <row r="63" spans="1:2">
      <c r="A63" s="6" t="s">
        <v>67</v>
      </c>
      <c r="B63" s="1">
        <v>14000</v>
      </c>
    </row>
    <row r="64" spans="1:2">
      <c r="A64" s="6" t="s">
        <v>68</v>
      </c>
      <c r="B64" s="1">
        <v>6000</v>
      </c>
    </row>
    <row r="65" spans="1:2">
      <c r="A65" s="6" t="s">
        <v>69</v>
      </c>
      <c r="B65" s="1">
        <v>7000</v>
      </c>
    </row>
    <row r="66" spans="1:2">
      <c r="A66" s="6" t="s">
        <v>70</v>
      </c>
      <c r="B66" s="1">
        <v>7000</v>
      </c>
    </row>
    <row r="67" spans="1:2">
      <c r="A67" s="6" t="s">
        <v>71</v>
      </c>
      <c r="B67" s="1">
        <v>6000</v>
      </c>
    </row>
    <row r="68" spans="1:2">
      <c r="A68" s="6" t="s">
        <v>72</v>
      </c>
      <c r="B68" s="1">
        <v>2500</v>
      </c>
    </row>
    <row r="69" spans="1:2">
      <c r="A69" s="6" t="s">
        <v>73</v>
      </c>
      <c r="B69" s="1">
        <v>2500</v>
      </c>
    </row>
    <row r="70" spans="1:2">
      <c r="A70" s="6" t="s">
        <v>74</v>
      </c>
      <c r="B70" s="1">
        <v>5000</v>
      </c>
    </row>
    <row r="71" spans="1:2">
      <c r="A71" s="6" t="s">
        <v>75</v>
      </c>
      <c r="B71" s="1">
        <v>5000</v>
      </c>
    </row>
    <row r="72" spans="1:2">
      <c r="A72" s="6" t="s">
        <v>76</v>
      </c>
      <c r="B72" s="1">
        <v>7500</v>
      </c>
    </row>
    <row r="73" spans="1:2">
      <c r="A73" s="6" t="s">
        <v>77</v>
      </c>
      <c r="B73" s="1">
        <v>4000</v>
      </c>
    </row>
    <row r="74" spans="1:2">
      <c r="A74" s="6" t="s">
        <v>78</v>
      </c>
      <c r="B74" s="1">
        <v>10000</v>
      </c>
    </row>
    <row r="75" spans="1:2">
      <c r="A75" s="6" t="s">
        <v>79</v>
      </c>
      <c r="B75" s="1">
        <v>5000</v>
      </c>
    </row>
    <row r="76" spans="1:2">
      <c r="A76" s="6" t="s">
        <v>80</v>
      </c>
      <c r="B76" s="1">
        <v>2500</v>
      </c>
    </row>
    <row r="77" spans="1:2">
      <c r="A77" s="6" t="s">
        <v>81</v>
      </c>
      <c r="B77" s="1">
        <v>8000</v>
      </c>
    </row>
    <row r="78" spans="1:2">
      <c r="A78" s="6" t="s">
        <v>82</v>
      </c>
      <c r="B78" s="1">
        <v>4000</v>
      </c>
    </row>
    <row r="79" spans="1:2">
      <c r="A79" s="6" t="s">
        <v>83</v>
      </c>
      <c r="B79" s="1">
        <v>5000</v>
      </c>
    </row>
    <row r="80" spans="1:2">
      <c r="A80" s="6" t="s">
        <v>84</v>
      </c>
      <c r="B80" s="1">
        <v>5000</v>
      </c>
    </row>
    <row r="81" spans="1:2">
      <c r="A81" s="6" t="s">
        <v>85</v>
      </c>
      <c r="B81" s="1">
        <v>3000</v>
      </c>
    </row>
    <row r="82" spans="1:2">
      <c r="A82" s="6" t="s">
        <v>86</v>
      </c>
      <c r="B82" s="1">
        <v>7500</v>
      </c>
    </row>
    <row r="83" spans="1:2">
      <c r="A83" s="6" t="s">
        <v>87</v>
      </c>
      <c r="B83" s="1">
        <v>8000</v>
      </c>
    </row>
    <row r="84" spans="1:2">
      <c r="A84" s="6" t="s">
        <v>88</v>
      </c>
      <c r="B84" s="1">
        <v>5000</v>
      </c>
    </row>
    <row r="85" spans="1:2">
      <c r="A85" s="6" t="s">
        <v>89</v>
      </c>
      <c r="B85" s="1">
        <v>16000</v>
      </c>
    </row>
    <row r="86" spans="1:2">
      <c r="A86" s="6" t="s">
        <v>90</v>
      </c>
      <c r="B86" s="1">
        <v>2500</v>
      </c>
    </row>
    <row r="87" spans="1:2">
      <c r="A87" s="6" t="s">
        <v>91</v>
      </c>
      <c r="B87" s="1">
        <v>5000</v>
      </c>
    </row>
    <row r="88" spans="1:2">
      <c r="A88" s="6" t="s">
        <v>92</v>
      </c>
      <c r="B88" s="1">
        <v>6000</v>
      </c>
    </row>
    <row r="89" spans="1:2">
      <c r="A89" s="6" t="s">
        <v>93</v>
      </c>
      <c r="B89" s="1">
        <v>10000</v>
      </c>
    </row>
    <row r="90" spans="1:2">
      <c r="A90" s="6" t="s">
        <v>94</v>
      </c>
      <c r="B90" s="1">
        <v>5000</v>
      </c>
    </row>
    <row r="91" spans="1:2">
      <c r="A91" s="6" t="s">
        <v>95</v>
      </c>
      <c r="B91" s="1">
        <v>8000</v>
      </c>
    </row>
    <row r="92" spans="1:2">
      <c r="A92" s="6" t="s">
        <v>96</v>
      </c>
      <c r="B92" s="1">
        <v>2500</v>
      </c>
    </row>
    <row r="93" spans="1:2">
      <c r="A93" s="6" t="s">
        <v>97</v>
      </c>
      <c r="B93" s="1">
        <v>5000</v>
      </c>
    </row>
    <row r="94" spans="1:2">
      <c r="A94" s="6" t="s">
        <v>98</v>
      </c>
      <c r="B94" s="1">
        <v>8000</v>
      </c>
    </row>
    <row r="95" spans="1:2">
      <c r="A95" s="6" t="s">
        <v>99</v>
      </c>
      <c r="B95" s="1">
        <v>6000</v>
      </c>
    </row>
    <row r="96" spans="1:2">
      <c r="A96" s="6" t="s">
        <v>100</v>
      </c>
      <c r="B96" s="1">
        <v>7000</v>
      </c>
    </row>
    <row r="97" spans="1:2">
      <c r="A97" s="6" t="s">
        <v>101</v>
      </c>
      <c r="B97" s="1">
        <v>16000</v>
      </c>
    </row>
    <row r="98" spans="1:2">
      <c r="A98" s="6" t="s">
        <v>102</v>
      </c>
      <c r="B98" s="1">
        <v>5000</v>
      </c>
    </row>
    <row r="99" spans="1:2">
      <c r="A99" s="6" t="s">
        <v>103</v>
      </c>
      <c r="B99" s="1">
        <v>2500</v>
      </c>
    </row>
    <row r="100" spans="1:2">
      <c r="A100" s="6" t="s">
        <v>104</v>
      </c>
      <c r="B100" s="1">
        <v>2500</v>
      </c>
    </row>
    <row r="101" spans="1:2">
      <c r="A101" s="6" t="s">
        <v>105</v>
      </c>
      <c r="B101" s="1">
        <v>3000</v>
      </c>
    </row>
    <row r="102" spans="1:2">
      <c r="A102" s="6" t="s">
        <v>106</v>
      </c>
      <c r="B102" s="1">
        <v>5000</v>
      </c>
    </row>
    <row r="103" spans="1:2">
      <c r="A103" s="6" t="s">
        <v>107</v>
      </c>
      <c r="B103" s="1">
        <v>4000</v>
      </c>
    </row>
    <row r="104" spans="1:2">
      <c r="A104" s="6" t="s">
        <v>108</v>
      </c>
      <c r="B104" s="1">
        <v>6000</v>
      </c>
    </row>
    <row r="105" spans="1:2">
      <c r="A105" s="6" t="s">
        <v>109</v>
      </c>
      <c r="B105" s="1">
        <v>3000</v>
      </c>
    </row>
    <row r="106" spans="1:2">
      <c r="A106" s="6" t="s">
        <v>110</v>
      </c>
      <c r="B106" s="1">
        <v>6000</v>
      </c>
    </row>
    <row r="107" spans="1:2">
      <c r="A107" s="6" t="s">
        <v>111</v>
      </c>
      <c r="B107" s="1">
        <v>15000</v>
      </c>
    </row>
    <row r="108" spans="1:2">
      <c r="A108" s="6" t="s">
        <v>112</v>
      </c>
      <c r="B108" s="1">
        <v>7000</v>
      </c>
    </row>
    <row r="109" spans="1:2">
      <c r="A109" s="6" t="s">
        <v>113</v>
      </c>
      <c r="B109" s="1">
        <v>4000</v>
      </c>
    </row>
    <row r="110" spans="1:2">
      <c r="A110" s="6" t="s">
        <v>114</v>
      </c>
      <c r="B110" s="1">
        <v>7000</v>
      </c>
    </row>
    <row r="111" spans="1:2">
      <c r="A111" s="6" t="s">
        <v>115</v>
      </c>
      <c r="B111" s="1">
        <v>2500</v>
      </c>
    </row>
    <row r="112" spans="1:2">
      <c r="A112" s="6" t="s">
        <v>116</v>
      </c>
      <c r="B112" s="1">
        <v>3000</v>
      </c>
    </row>
    <row r="113" spans="1:2">
      <c r="A113" s="6" t="s">
        <v>117</v>
      </c>
      <c r="B113" s="1">
        <v>5000</v>
      </c>
    </row>
    <row r="114" spans="1:2">
      <c r="A114" s="6" t="s">
        <v>118</v>
      </c>
      <c r="B114" s="1">
        <v>7500</v>
      </c>
    </row>
    <row r="115" spans="1:2">
      <c r="A115" s="6" t="s">
        <v>119</v>
      </c>
      <c r="B115" s="1">
        <v>8000</v>
      </c>
    </row>
    <row r="116" spans="1:2">
      <c r="A116" s="6" t="s">
        <v>120</v>
      </c>
      <c r="B116" s="1">
        <v>5000</v>
      </c>
    </row>
    <row r="117" spans="1:2">
      <c r="A117" s="6" t="s">
        <v>121</v>
      </c>
      <c r="B117" s="1">
        <v>3000</v>
      </c>
    </row>
    <row r="118" spans="1:2">
      <c r="A118" s="6" t="s">
        <v>122</v>
      </c>
      <c r="B118" s="1">
        <v>6000</v>
      </c>
    </row>
    <row r="119" spans="1:2">
      <c r="A119" s="6" t="s">
        <v>123</v>
      </c>
      <c r="B119" s="1">
        <v>2500</v>
      </c>
    </row>
    <row r="120" spans="1:2">
      <c r="A120" s="6" t="s">
        <v>124</v>
      </c>
      <c r="B120" s="1">
        <v>5000</v>
      </c>
    </row>
    <row r="121" spans="1:2">
      <c r="A121" s="6" t="s">
        <v>125</v>
      </c>
      <c r="B121" s="1">
        <v>3000</v>
      </c>
    </row>
    <row r="122" spans="1:2">
      <c r="A122" s="6" t="s">
        <v>126</v>
      </c>
      <c r="B122" s="1">
        <v>3000</v>
      </c>
    </row>
    <row r="123" spans="1:2">
      <c r="A123" s="6" t="s">
        <v>127</v>
      </c>
      <c r="B123" s="1">
        <v>7000</v>
      </c>
    </row>
    <row r="124" spans="1:2">
      <c r="A124" s="6" t="s">
        <v>128</v>
      </c>
      <c r="B124" s="1">
        <v>5000</v>
      </c>
    </row>
    <row r="125" spans="1:2">
      <c r="A125" s="6" t="s">
        <v>129</v>
      </c>
      <c r="B125" s="1">
        <v>5000</v>
      </c>
    </row>
    <row r="126" spans="1:2">
      <c r="A126" s="6" t="s">
        <v>130</v>
      </c>
      <c r="B126" s="1">
        <v>3000</v>
      </c>
    </row>
    <row r="127" spans="1:2">
      <c r="A127" s="6" t="s">
        <v>131</v>
      </c>
      <c r="B127" s="1">
        <v>6000</v>
      </c>
    </row>
    <row r="128" spans="1:2">
      <c r="A128" s="6" t="s">
        <v>132</v>
      </c>
      <c r="B128" s="1">
        <v>3000</v>
      </c>
    </row>
    <row r="129" spans="1:2">
      <c r="A129" s="6" t="s">
        <v>133</v>
      </c>
      <c r="B129" s="1">
        <v>5000</v>
      </c>
    </row>
    <row r="130" spans="1:2">
      <c r="A130" s="6" t="s">
        <v>134</v>
      </c>
      <c r="B130" s="1">
        <v>5000</v>
      </c>
    </row>
    <row r="131" spans="1:2">
      <c r="A131" s="6" t="s">
        <v>135</v>
      </c>
      <c r="B131" s="1">
        <v>2500</v>
      </c>
    </row>
    <row r="132" spans="1:2">
      <c r="A132" s="6" t="s">
        <v>136</v>
      </c>
      <c r="B132" s="1">
        <v>3000</v>
      </c>
    </row>
    <row r="133" spans="1:2">
      <c r="A133" s="6" t="s">
        <v>137</v>
      </c>
      <c r="B133" s="1">
        <v>7500</v>
      </c>
    </row>
    <row r="134" spans="1:2">
      <c r="A134" s="6" t="s">
        <v>138</v>
      </c>
      <c r="B134" s="1">
        <v>10000</v>
      </c>
    </row>
    <row r="135" spans="1:2">
      <c r="A135" s="6" t="s">
        <v>139</v>
      </c>
      <c r="B135" s="1">
        <v>8000</v>
      </c>
    </row>
    <row r="136" spans="1:2">
      <c r="A136" s="6" t="s">
        <v>140</v>
      </c>
      <c r="B136" s="1">
        <v>5000</v>
      </c>
    </row>
    <row r="137" spans="1:2">
      <c r="A137" s="6" t="s">
        <v>141</v>
      </c>
      <c r="B137" s="1">
        <v>7500</v>
      </c>
    </row>
    <row r="138" spans="1:2">
      <c r="A138" s="6" t="s">
        <v>142</v>
      </c>
      <c r="B138" s="1">
        <v>3000</v>
      </c>
    </row>
    <row r="139" spans="1:2">
      <c r="A139" s="6" t="s">
        <v>143</v>
      </c>
      <c r="B139" s="1">
        <v>7500</v>
      </c>
    </row>
    <row r="140" spans="1:2">
      <c r="A140" s="6" t="s">
        <v>144</v>
      </c>
      <c r="B140" s="1">
        <v>3000</v>
      </c>
    </row>
    <row r="141" spans="1:2">
      <c r="A141" s="6" t="s">
        <v>145</v>
      </c>
      <c r="B141" s="1">
        <v>6000</v>
      </c>
    </row>
    <row r="142" spans="1:2">
      <c r="A142" s="6" t="s">
        <v>146</v>
      </c>
      <c r="B142" s="1">
        <v>2500</v>
      </c>
    </row>
    <row r="143" spans="1:2">
      <c r="A143" s="6" t="s">
        <v>147</v>
      </c>
      <c r="B143" s="1">
        <v>10000</v>
      </c>
    </row>
    <row r="144" spans="1:2">
      <c r="A144" s="6" t="s">
        <v>148</v>
      </c>
      <c r="B144" s="1">
        <v>3000</v>
      </c>
    </row>
    <row r="145" spans="1:2">
      <c r="A145" s="6" t="s">
        <v>149</v>
      </c>
      <c r="B145" s="1">
        <v>5000</v>
      </c>
    </row>
    <row r="146" spans="1:2">
      <c r="A146" s="6" t="s">
        <v>150</v>
      </c>
      <c r="B146" s="1">
        <v>3000</v>
      </c>
    </row>
    <row r="147" spans="1:2">
      <c r="A147" s="6" t="s">
        <v>151</v>
      </c>
      <c r="B147" s="1">
        <v>16000</v>
      </c>
    </row>
    <row r="148" spans="1:2">
      <c r="A148" s="6" t="s">
        <v>152</v>
      </c>
      <c r="B148" s="1">
        <v>2500</v>
      </c>
    </row>
    <row r="149" spans="1:2">
      <c r="A149" s="6" t="s">
        <v>153</v>
      </c>
      <c r="B149" s="1">
        <v>3000</v>
      </c>
    </row>
    <row r="150" spans="1:2">
      <c r="A150" s="6" t="s">
        <v>154</v>
      </c>
      <c r="B150" s="1">
        <v>7000</v>
      </c>
    </row>
    <row r="151" spans="1:2">
      <c r="A151" s="6" t="s">
        <v>155</v>
      </c>
      <c r="B151" s="1">
        <v>8000</v>
      </c>
    </row>
    <row r="152" spans="1:2">
      <c r="A152" s="6" t="s">
        <v>156</v>
      </c>
      <c r="B152" s="1">
        <v>3000</v>
      </c>
    </row>
    <row r="153" spans="1:2">
      <c r="A153" s="6" t="s">
        <v>157</v>
      </c>
      <c r="B153" s="1">
        <v>5000</v>
      </c>
    </row>
    <row r="154" spans="1:2">
      <c r="A154" s="6" t="s">
        <v>158</v>
      </c>
      <c r="B154" s="1">
        <v>6000</v>
      </c>
    </row>
    <row r="155" spans="1:2">
      <c r="A155" s="6" t="s">
        <v>159</v>
      </c>
      <c r="B155" s="1">
        <v>3000</v>
      </c>
    </row>
    <row r="156" spans="1:2">
      <c r="A156" s="6" t="s">
        <v>160</v>
      </c>
      <c r="B156" s="1">
        <v>15000</v>
      </c>
    </row>
    <row r="157" spans="1:2">
      <c r="A157" s="6" t="s">
        <v>161</v>
      </c>
      <c r="B157" s="1">
        <v>5000</v>
      </c>
    </row>
    <row r="158" spans="1:2">
      <c r="A158" s="6" t="s">
        <v>162</v>
      </c>
      <c r="B158" s="1">
        <v>2500</v>
      </c>
    </row>
    <row r="159" spans="1:2">
      <c r="A159" s="6" t="s">
        <v>163</v>
      </c>
      <c r="B159" s="1">
        <v>3000</v>
      </c>
    </row>
    <row r="160" spans="1:2">
      <c r="A160" s="6" t="s">
        <v>164</v>
      </c>
      <c r="B160" s="1">
        <v>14000</v>
      </c>
    </row>
    <row r="161" spans="1:2">
      <c r="A161" s="6" t="s">
        <v>165</v>
      </c>
      <c r="B161" s="1">
        <v>6000</v>
      </c>
    </row>
    <row r="162" spans="1:2">
      <c r="A162" s="6" t="s">
        <v>166</v>
      </c>
      <c r="B162" s="1">
        <v>4000</v>
      </c>
    </row>
    <row r="163" spans="1:2">
      <c r="A163" s="6" t="s">
        <v>167</v>
      </c>
      <c r="B163" s="1">
        <v>2500</v>
      </c>
    </row>
    <row r="164" spans="1:2">
      <c r="A164" s="6" t="s">
        <v>168</v>
      </c>
      <c r="B164" s="1">
        <v>12000</v>
      </c>
    </row>
    <row r="165" spans="1:2">
      <c r="A165" s="6" t="s">
        <v>169</v>
      </c>
      <c r="B165" s="1">
        <v>5000</v>
      </c>
    </row>
    <row r="166" spans="1:2">
      <c r="A166" s="6" t="s">
        <v>170</v>
      </c>
      <c r="B166" s="1">
        <v>2500</v>
      </c>
    </row>
    <row r="167" spans="1:2">
      <c r="A167" s="6" t="s">
        <v>171</v>
      </c>
      <c r="B167" s="1">
        <v>7500</v>
      </c>
    </row>
    <row r="168" spans="1:2">
      <c r="A168" s="6" t="s">
        <v>172</v>
      </c>
      <c r="B168" s="1">
        <v>7000</v>
      </c>
    </row>
    <row r="169" spans="1:2">
      <c r="A169" s="6" t="s">
        <v>173</v>
      </c>
      <c r="B169" s="1">
        <v>6000</v>
      </c>
    </row>
    <row r="170" spans="1:2">
      <c r="A170" s="6" t="s">
        <v>174</v>
      </c>
      <c r="B170" s="1">
        <v>14000</v>
      </c>
    </row>
    <row r="171" spans="1:2">
      <c r="A171" s="6" t="s">
        <v>175</v>
      </c>
      <c r="B171" s="1">
        <v>3000</v>
      </c>
    </row>
    <row r="172" spans="1:2">
      <c r="A172" s="6" t="s">
        <v>176</v>
      </c>
      <c r="B172" s="1">
        <v>8000</v>
      </c>
    </row>
    <row r="173" spans="1:2">
      <c r="A173" s="6" t="s">
        <v>177</v>
      </c>
      <c r="B173" s="1">
        <v>6000</v>
      </c>
    </row>
    <row r="174" spans="1:2">
      <c r="A174" s="6" t="s">
        <v>178</v>
      </c>
      <c r="B174" s="1">
        <v>3000</v>
      </c>
    </row>
    <row r="175" spans="1:2">
      <c r="A175" s="6" t="s">
        <v>179</v>
      </c>
      <c r="B175" s="1">
        <v>7000</v>
      </c>
    </row>
    <row r="176" spans="1:2">
      <c r="A176" s="6" t="s">
        <v>180</v>
      </c>
      <c r="B176" s="1">
        <v>5000</v>
      </c>
    </row>
    <row r="177" spans="1:2">
      <c r="A177" s="6" t="s">
        <v>181</v>
      </c>
      <c r="B177" s="1">
        <v>4000</v>
      </c>
    </row>
    <row r="178" spans="1:2">
      <c r="A178" s="6" t="s">
        <v>182</v>
      </c>
      <c r="B178" s="1">
        <v>3000</v>
      </c>
    </row>
    <row r="179" spans="1:2">
      <c r="A179" s="6" t="s">
        <v>183</v>
      </c>
      <c r="B179" s="1">
        <v>3000</v>
      </c>
    </row>
    <row r="180" spans="1:2">
      <c r="A180" s="6" t="s">
        <v>184</v>
      </c>
      <c r="B180" s="1">
        <v>6000</v>
      </c>
    </row>
    <row r="181" spans="1:2">
      <c r="A181" s="6" t="s">
        <v>185</v>
      </c>
      <c r="B181" s="1">
        <v>6000</v>
      </c>
    </row>
    <row r="182" spans="1:2">
      <c r="A182" s="6" t="s">
        <v>186</v>
      </c>
      <c r="B182" s="1">
        <v>12000</v>
      </c>
    </row>
    <row r="183" spans="1:2">
      <c r="A183" s="6" t="s">
        <v>187</v>
      </c>
      <c r="B183" s="1">
        <v>7000</v>
      </c>
    </row>
    <row r="184" spans="1:2">
      <c r="A184" s="6" t="s">
        <v>188</v>
      </c>
      <c r="B184" s="1">
        <v>2500</v>
      </c>
    </row>
    <row r="185" spans="1:2">
      <c r="A185" s="6" t="s">
        <v>189</v>
      </c>
      <c r="B185" s="1">
        <v>3000</v>
      </c>
    </row>
    <row r="186" spans="1:2">
      <c r="A186" s="6" t="s">
        <v>190</v>
      </c>
      <c r="B186" s="1">
        <v>2500</v>
      </c>
    </row>
    <row r="187" spans="1:2">
      <c r="A187" s="6" t="s">
        <v>191</v>
      </c>
      <c r="B187" s="1">
        <v>6000</v>
      </c>
    </row>
    <row r="188" spans="1:2">
      <c r="A188" s="6" t="s">
        <v>192</v>
      </c>
      <c r="B188" s="1">
        <v>15000</v>
      </c>
    </row>
    <row r="189" spans="1:2">
      <c r="A189" s="6" t="s">
        <v>193</v>
      </c>
      <c r="B189" s="1">
        <v>6000</v>
      </c>
    </row>
    <row r="190" spans="1:2">
      <c r="A190" s="6" t="s">
        <v>194</v>
      </c>
      <c r="B190" s="1">
        <v>3000</v>
      </c>
    </row>
    <row r="191" spans="1:2">
      <c r="A191" s="6" t="s">
        <v>195</v>
      </c>
      <c r="B191" s="1">
        <v>7000</v>
      </c>
    </row>
    <row r="192" spans="1:2">
      <c r="A192" s="6" t="s">
        <v>196</v>
      </c>
      <c r="B192" s="1">
        <v>12000</v>
      </c>
    </row>
    <row r="193" spans="1:2">
      <c r="A193" s="6" t="s">
        <v>197</v>
      </c>
      <c r="B193" s="1">
        <v>8000</v>
      </c>
    </row>
    <row r="194" spans="1:2">
      <c r="A194" s="6" t="s">
        <v>198</v>
      </c>
      <c r="B194" s="1">
        <v>8000</v>
      </c>
    </row>
    <row r="195" spans="1:2">
      <c r="A195" s="6" t="s">
        <v>199</v>
      </c>
      <c r="B195" s="1">
        <v>5000</v>
      </c>
    </row>
    <row r="196" spans="1:2">
      <c r="A196" s="6" t="s">
        <v>200</v>
      </c>
      <c r="B196" s="1">
        <v>10000</v>
      </c>
    </row>
    <row r="197" spans="1:2">
      <c r="A197" s="6" t="s">
        <v>201</v>
      </c>
      <c r="B197" s="1">
        <v>3000</v>
      </c>
    </row>
    <row r="198" spans="1:2">
      <c r="A198" s="6" t="s">
        <v>202</v>
      </c>
      <c r="B198" s="1">
        <v>5000</v>
      </c>
    </row>
    <row r="199" spans="1:2">
      <c r="A199" s="6" t="s">
        <v>203</v>
      </c>
      <c r="B199" s="1">
        <v>5000</v>
      </c>
    </row>
    <row r="200" spans="1:2">
      <c r="A200" s="6" t="s">
        <v>204</v>
      </c>
      <c r="B200" s="1">
        <v>3000</v>
      </c>
    </row>
    <row r="201" spans="1:2">
      <c r="A201" s="6" t="s">
        <v>205</v>
      </c>
      <c r="B201" s="1">
        <v>4000</v>
      </c>
    </row>
    <row r="202" spans="1:2">
      <c r="A202" s="6" t="s">
        <v>206</v>
      </c>
      <c r="B202" s="1">
        <v>16000</v>
      </c>
    </row>
    <row r="203" spans="1:2">
      <c r="A203" s="6" t="s">
        <v>207</v>
      </c>
      <c r="B203" s="1">
        <v>2500</v>
      </c>
    </row>
    <row r="204" spans="1:2">
      <c r="A204" s="6" t="s">
        <v>208</v>
      </c>
      <c r="B204" s="1">
        <v>2500</v>
      </c>
    </row>
    <row r="205" spans="1:2">
      <c r="A205" s="6" t="s">
        <v>209</v>
      </c>
      <c r="B205" s="1">
        <v>5000</v>
      </c>
    </row>
    <row r="206" spans="1:2">
      <c r="A206" s="6" t="s">
        <v>210</v>
      </c>
      <c r="B206" s="1">
        <v>16000</v>
      </c>
    </row>
    <row r="207" spans="1:2">
      <c r="A207" s="6" t="s">
        <v>211</v>
      </c>
      <c r="B207" s="1">
        <v>6000</v>
      </c>
    </row>
    <row r="208" spans="1:2">
      <c r="A208" s="6" t="s">
        <v>212</v>
      </c>
      <c r="B208" s="1">
        <v>7500</v>
      </c>
    </row>
    <row r="209" spans="1:2">
      <c r="A209" s="6" t="s">
        <v>213</v>
      </c>
      <c r="B209" s="1">
        <v>3000</v>
      </c>
    </row>
    <row r="210" spans="1:2">
      <c r="A210" s="6" t="s">
        <v>214</v>
      </c>
      <c r="B210" s="1">
        <v>6000</v>
      </c>
    </row>
    <row r="211" spans="1:2">
      <c r="A211" s="6" t="s">
        <v>215</v>
      </c>
      <c r="B211" s="1">
        <v>5000</v>
      </c>
    </row>
    <row r="212" spans="1:2">
      <c r="A212" s="6" t="s">
        <v>216</v>
      </c>
      <c r="B212" s="1">
        <v>7500</v>
      </c>
    </row>
    <row r="213" spans="1:2">
      <c r="A213" s="6" t="s">
        <v>217</v>
      </c>
      <c r="B213" s="1">
        <v>3000</v>
      </c>
    </row>
    <row r="214" spans="1:2">
      <c r="A214" s="6" t="s">
        <v>218</v>
      </c>
      <c r="B214" s="1">
        <v>6000</v>
      </c>
    </row>
    <row r="215" spans="1:2">
      <c r="A215" s="6" t="s">
        <v>219</v>
      </c>
      <c r="B215" s="1">
        <v>7500</v>
      </c>
    </row>
    <row r="216" spans="1:2">
      <c r="A216" s="6" t="s">
        <v>220</v>
      </c>
      <c r="B216" s="1">
        <v>10000</v>
      </c>
    </row>
    <row r="217" spans="1:2">
      <c r="A217" s="6" t="s">
        <v>221</v>
      </c>
      <c r="B217" s="1">
        <v>2500</v>
      </c>
    </row>
    <row r="218" spans="1:2">
      <c r="A218" s="6" t="s">
        <v>222</v>
      </c>
      <c r="B218" s="1">
        <v>3000</v>
      </c>
    </row>
    <row r="219" spans="1:2">
      <c r="A219" s="6" t="s">
        <v>223</v>
      </c>
      <c r="B219" s="1">
        <v>5000</v>
      </c>
    </row>
    <row r="220" spans="1:2">
      <c r="A220" s="6" t="s">
        <v>224</v>
      </c>
      <c r="B220" s="1">
        <v>5000</v>
      </c>
    </row>
    <row r="221" spans="1:2">
      <c r="A221" s="6" t="s">
        <v>225</v>
      </c>
      <c r="B221" s="1">
        <v>7500</v>
      </c>
    </row>
    <row r="222" spans="1:2">
      <c r="A222" s="6" t="s">
        <v>226</v>
      </c>
      <c r="B222" s="1">
        <v>2500</v>
      </c>
    </row>
    <row r="223" spans="1:2">
      <c r="A223" s="6" t="s">
        <v>227</v>
      </c>
      <c r="B223" s="1">
        <v>5000</v>
      </c>
    </row>
    <row r="224" spans="1:2">
      <c r="A224" s="6" t="s">
        <v>228</v>
      </c>
      <c r="B224" s="1">
        <v>3000</v>
      </c>
    </row>
    <row r="225" spans="1:2">
      <c r="A225" s="6" t="s">
        <v>229</v>
      </c>
      <c r="B225" s="1">
        <v>3000</v>
      </c>
    </row>
    <row r="226" spans="1:2">
      <c r="A226" s="6" t="s">
        <v>230</v>
      </c>
      <c r="B226" s="1">
        <v>2500</v>
      </c>
    </row>
    <row r="227" spans="1:2">
      <c r="A227" s="6" t="s">
        <v>231</v>
      </c>
      <c r="B227" s="1">
        <v>4000</v>
      </c>
    </row>
    <row r="228" spans="1:2">
      <c r="A228" s="6" t="s">
        <v>232</v>
      </c>
      <c r="B228" s="1">
        <v>2500</v>
      </c>
    </row>
    <row r="229" spans="1:2">
      <c r="A229" s="6" t="s">
        <v>233</v>
      </c>
      <c r="B229" s="1">
        <v>8000</v>
      </c>
    </row>
    <row r="230" spans="1:2">
      <c r="A230" s="6" t="s">
        <v>234</v>
      </c>
      <c r="B230" s="1">
        <v>5000</v>
      </c>
    </row>
    <row r="231" spans="1:2">
      <c r="A231" s="6" t="s">
        <v>235</v>
      </c>
      <c r="B231" s="1">
        <v>5000</v>
      </c>
    </row>
    <row r="232" spans="1:2">
      <c r="A232" s="6" t="s">
        <v>236</v>
      </c>
      <c r="B232" s="1">
        <v>2500</v>
      </c>
    </row>
    <row r="233" spans="1:2">
      <c r="A233" s="6" t="s">
        <v>237</v>
      </c>
      <c r="B233" s="1">
        <v>10000</v>
      </c>
    </row>
    <row r="234" spans="1:2">
      <c r="A234" s="6" t="s">
        <v>238</v>
      </c>
      <c r="B234" s="1">
        <v>7500</v>
      </c>
    </row>
    <row r="235" spans="1:2">
      <c r="A235" s="6" t="s">
        <v>239</v>
      </c>
      <c r="B235" s="1">
        <v>5000</v>
      </c>
    </row>
    <row r="236" spans="1:2">
      <c r="A236" s="6" t="s">
        <v>240</v>
      </c>
      <c r="B236" s="1">
        <v>8000</v>
      </c>
    </row>
    <row r="237" spans="1:2">
      <c r="A237" s="6" t="s">
        <v>241</v>
      </c>
      <c r="B237" s="1">
        <v>8000</v>
      </c>
    </row>
    <row r="238" spans="1:2">
      <c r="A238" s="6" t="s">
        <v>242</v>
      </c>
      <c r="B238" s="1">
        <v>3000</v>
      </c>
    </row>
    <row r="239" spans="1:2">
      <c r="A239" s="6" t="s">
        <v>243</v>
      </c>
      <c r="B239" s="1">
        <v>6000</v>
      </c>
    </row>
    <row r="240" spans="1:2">
      <c r="A240" s="6" t="s">
        <v>244</v>
      </c>
      <c r="B240" s="1">
        <v>3000</v>
      </c>
    </row>
    <row r="241" spans="1:2">
      <c r="A241" s="6" t="s">
        <v>245</v>
      </c>
      <c r="B241" s="1">
        <v>2500</v>
      </c>
    </row>
    <row r="242" spans="1:2">
      <c r="A242" s="6" t="s">
        <v>246</v>
      </c>
      <c r="B242" s="1">
        <v>7000</v>
      </c>
    </row>
    <row r="243" spans="1:2">
      <c r="A243" s="6" t="s">
        <v>247</v>
      </c>
      <c r="B243" s="1">
        <v>2500</v>
      </c>
    </row>
    <row r="244" spans="1:2">
      <c r="A244" s="6" t="s">
        <v>248</v>
      </c>
      <c r="B244" s="1">
        <v>6000</v>
      </c>
    </row>
    <row r="245" spans="1:2">
      <c r="A245" s="6" t="s">
        <v>249</v>
      </c>
      <c r="B245" s="1">
        <v>6000</v>
      </c>
    </row>
    <row r="246" spans="1:2">
      <c r="A246" s="6" t="s">
        <v>250</v>
      </c>
      <c r="B246" s="1">
        <v>6000</v>
      </c>
    </row>
    <row r="247" spans="1:2">
      <c r="A247" s="6" t="s">
        <v>251</v>
      </c>
      <c r="B247" s="1">
        <v>3000</v>
      </c>
    </row>
    <row r="248" spans="1:2">
      <c r="A248" s="6" t="s">
        <v>252</v>
      </c>
      <c r="B248" s="1">
        <v>2500</v>
      </c>
    </row>
    <row r="249" spans="1:2">
      <c r="A249" s="6" t="s">
        <v>253</v>
      </c>
      <c r="B249" s="1">
        <v>6000</v>
      </c>
    </row>
    <row r="250" spans="1:2">
      <c r="A250" s="6" t="s">
        <v>254</v>
      </c>
      <c r="B250" s="1">
        <v>10000</v>
      </c>
    </row>
    <row r="251" spans="1:2">
      <c r="A251" s="6" t="s">
        <v>255</v>
      </c>
      <c r="B251" s="1">
        <v>3000</v>
      </c>
    </row>
    <row r="252" spans="1:2">
      <c r="A252" s="6" t="s">
        <v>256</v>
      </c>
      <c r="B252" s="1">
        <v>6000</v>
      </c>
    </row>
    <row r="253" spans="1:2">
      <c r="A253" s="6" t="s">
        <v>257</v>
      </c>
      <c r="B253" s="1">
        <v>6000</v>
      </c>
    </row>
    <row r="254" spans="1:2">
      <c r="A254" s="6" t="s">
        <v>258</v>
      </c>
      <c r="B254" s="1">
        <v>4000</v>
      </c>
    </row>
    <row r="255" spans="1:2">
      <c r="A255" s="6" t="s">
        <v>259</v>
      </c>
      <c r="B255" s="1">
        <v>16000</v>
      </c>
    </row>
    <row r="256" spans="1:2">
      <c r="A256" s="6" t="s">
        <v>260</v>
      </c>
      <c r="B256" s="1">
        <v>16000</v>
      </c>
    </row>
    <row r="257" spans="1:2">
      <c r="A257" s="6" t="s">
        <v>261</v>
      </c>
      <c r="B257" s="1">
        <v>6000</v>
      </c>
    </row>
    <row r="258" spans="1:2">
      <c r="A258" s="6" t="s">
        <v>262</v>
      </c>
      <c r="B258" s="1">
        <v>7500</v>
      </c>
    </row>
    <row r="259" spans="1:2">
      <c r="A259" s="6" t="s">
        <v>263</v>
      </c>
      <c r="B259" s="1">
        <v>6000</v>
      </c>
    </row>
    <row r="260" spans="1:2">
      <c r="A260" s="6" t="s">
        <v>264</v>
      </c>
      <c r="B260" s="1">
        <v>8000</v>
      </c>
    </row>
    <row r="261" spans="1:2">
      <c r="A261" s="6" t="s">
        <v>265</v>
      </c>
      <c r="B261" s="1">
        <v>8000</v>
      </c>
    </row>
    <row r="262" spans="1:2">
      <c r="A262" s="6" t="s">
        <v>266</v>
      </c>
      <c r="B262" s="1">
        <v>8000</v>
      </c>
    </row>
    <row r="263" spans="1:2">
      <c r="A263" s="6" t="s">
        <v>267</v>
      </c>
      <c r="B263" s="1">
        <v>8000</v>
      </c>
    </row>
    <row r="264" spans="1:2">
      <c r="A264" s="6" t="s">
        <v>268</v>
      </c>
      <c r="B264" s="1">
        <v>2500</v>
      </c>
    </row>
    <row r="265" spans="1:2">
      <c r="A265" s="6" t="s">
        <v>269</v>
      </c>
      <c r="B265" s="1">
        <v>5000</v>
      </c>
    </row>
    <row r="266" spans="1:2">
      <c r="A266" s="6" t="s">
        <v>270</v>
      </c>
      <c r="B266" s="1">
        <v>8000</v>
      </c>
    </row>
    <row r="267" spans="1:2">
      <c r="A267" s="6" t="s">
        <v>271</v>
      </c>
      <c r="B267" s="1">
        <v>7500</v>
      </c>
    </row>
    <row r="268" spans="1:2">
      <c r="A268" s="6" t="s">
        <v>272</v>
      </c>
      <c r="B268" s="1">
        <v>2500</v>
      </c>
    </row>
    <row r="269" spans="1:2">
      <c r="A269" s="6" t="s">
        <v>273</v>
      </c>
      <c r="B269" s="1">
        <v>3000</v>
      </c>
    </row>
    <row r="270" spans="1:2">
      <c r="A270" s="6" t="s">
        <v>274</v>
      </c>
      <c r="B270" s="1">
        <v>6000</v>
      </c>
    </row>
    <row r="271" spans="1:2">
      <c r="A271" s="6" t="s">
        <v>275</v>
      </c>
      <c r="B271" s="1">
        <v>5000</v>
      </c>
    </row>
    <row r="272" spans="1:2">
      <c r="A272" s="6" t="s">
        <v>276</v>
      </c>
      <c r="B272" s="1">
        <v>6000</v>
      </c>
    </row>
    <row r="273" spans="1:2">
      <c r="A273" s="6" t="s">
        <v>277</v>
      </c>
      <c r="B273" s="1">
        <v>2500</v>
      </c>
    </row>
    <row r="274" spans="1:2">
      <c r="A274" s="6" t="s">
        <v>278</v>
      </c>
      <c r="B274" s="1">
        <v>8000</v>
      </c>
    </row>
    <row r="275" spans="1:2">
      <c r="A275" s="6" t="s">
        <v>279</v>
      </c>
      <c r="B275" s="1">
        <v>5000</v>
      </c>
    </row>
    <row r="276" spans="1:2">
      <c r="A276" s="6" t="s">
        <v>280</v>
      </c>
      <c r="B276" s="1">
        <v>7000</v>
      </c>
    </row>
    <row r="277" spans="1:2">
      <c r="A277" s="6" t="s">
        <v>281</v>
      </c>
      <c r="B277" s="1">
        <v>2500</v>
      </c>
    </row>
    <row r="278" spans="1:2">
      <c r="A278" s="6" t="s">
        <v>282</v>
      </c>
      <c r="B278" s="1">
        <v>6000</v>
      </c>
    </row>
    <row r="279" spans="1:2">
      <c r="A279" s="6" t="s">
        <v>283</v>
      </c>
      <c r="B279" s="1">
        <v>2500</v>
      </c>
    </row>
    <row r="280" spans="1:2">
      <c r="A280" s="6" t="s">
        <v>284</v>
      </c>
      <c r="B280" s="1">
        <v>7500</v>
      </c>
    </row>
    <row r="281" spans="1:2">
      <c r="A281" s="6" t="s">
        <v>285</v>
      </c>
      <c r="B281" s="1">
        <v>15000</v>
      </c>
    </row>
    <row r="282" spans="1:2">
      <c r="A282" s="6" t="s">
        <v>286</v>
      </c>
      <c r="B282" s="1">
        <v>5000</v>
      </c>
    </row>
    <row r="283" spans="1:2">
      <c r="A283" s="6" t="s">
        <v>287</v>
      </c>
      <c r="B283" s="1">
        <v>3000</v>
      </c>
    </row>
    <row r="284" spans="1:2">
      <c r="A284" s="6" t="s">
        <v>288</v>
      </c>
      <c r="B284" s="1">
        <v>15000</v>
      </c>
    </row>
    <row r="285" spans="1:2">
      <c r="A285" s="6" t="s">
        <v>289</v>
      </c>
      <c r="B285" s="1">
        <v>5000</v>
      </c>
    </row>
    <row r="286" spans="1:2">
      <c r="A286" s="6" t="s">
        <v>290</v>
      </c>
      <c r="B286" s="1">
        <v>2500</v>
      </c>
    </row>
    <row r="287" spans="1:2">
      <c r="A287" s="6" t="s">
        <v>291</v>
      </c>
      <c r="B287" s="1">
        <v>8000</v>
      </c>
    </row>
    <row r="288" spans="1:2">
      <c r="A288" s="6" t="s">
        <v>292</v>
      </c>
      <c r="B288" s="1">
        <v>2500</v>
      </c>
    </row>
    <row r="289" spans="1:2">
      <c r="A289" s="6" t="s">
        <v>293</v>
      </c>
      <c r="B289" s="1">
        <v>6000</v>
      </c>
    </row>
    <row r="290" spans="1:2">
      <c r="A290" s="6" t="s">
        <v>294</v>
      </c>
      <c r="B290" s="1">
        <v>4000</v>
      </c>
    </row>
    <row r="291" spans="1:2">
      <c r="A291" s="6" t="s">
        <v>295</v>
      </c>
      <c r="B291" s="1">
        <v>5000</v>
      </c>
    </row>
    <row r="292" spans="1:2">
      <c r="A292" s="6" t="s">
        <v>296</v>
      </c>
      <c r="B292" s="1">
        <v>6000</v>
      </c>
    </row>
    <row r="293" spans="1:2">
      <c r="A293" s="6" t="s">
        <v>297</v>
      </c>
      <c r="B293" s="1">
        <v>6000</v>
      </c>
    </row>
    <row r="294" spans="1:2">
      <c r="A294" s="6" t="s">
        <v>298</v>
      </c>
      <c r="B294" s="1">
        <v>2500</v>
      </c>
    </row>
    <row r="295" spans="1:2">
      <c r="A295" s="6" t="s">
        <v>299</v>
      </c>
      <c r="B295" s="1">
        <v>3000</v>
      </c>
    </row>
    <row r="296" spans="1:2">
      <c r="A296" s="6" t="s">
        <v>300</v>
      </c>
      <c r="B296" s="1">
        <v>16000</v>
      </c>
    </row>
    <row r="297" spans="1:2">
      <c r="A297" s="6" t="s">
        <v>301</v>
      </c>
      <c r="B297" s="1">
        <v>2500</v>
      </c>
    </row>
    <row r="298" spans="1:2">
      <c r="A298" s="6" t="s">
        <v>302</v>
      </c>
      <c r="B298" s="1">
        <v>5000</v>
      </c>
    </row>
    <row r="299" spans="1:2">
      <c r="A299" s="6" t="s">
        <v>303</v>
      </c>
      <c r="B299" s="1">
        <v>2500</v>
      </c>
    </row>
    <row r="300" spans="1:2">
      <c r="A300" s="6" t="s">
        <v>304</v>
      </c>
      <c r="B300" s="1">
        <v>7500</v>
      </c>
    </row>
    <row r="301" spans="1:2">
      <c r="A301" s="6" t="s">
        <v>305</v>
      </c>
      <c r="B301" s="1">
        <v>4000</v>
      </c>
    </row>
    <row r="302" spans="1:2">
      <c r="A302" s="6" t="s">
        <v>306</v>
      </c>
      <c r="B302" s="1">
        <v>8000</v>
      </c>
    </row>
    <row r="303" spans="1:2">
      <c r="A303" s="6" t="s">
        <v>307</v>
      </c>
      <c r="B303" s="1">
        <v>6000</v>
      </c>
    </row>
    <row r="304" spans="1:2">
      <c r="A304" s="6" t="s">
        <v>308</v>
      </c>
      <c r="B304" s="1">
        <v>3000</v>
      </c>
    </row>
    <row r="305" spans="1:2">
      <c r="A305" s="6" t="s">
        <v>309</v>
      </c>
      <c r="B305" s="1">
        <v>7500</v>
      </c>
    </row>
    <row r="306" spans="1:2">
      <c r="A306" s="6" t="s">
        <v>310</v>
      </c>
      <c r="B306" s="1">
        <v>5000</v>
      </c>
    </row>
    <row r="307" spans="1:2">
      <c r="A307" s="6" t="s">
        <v>311</v>
      </c>
      <c r="B307" s="1">
        <v>5000</v>
      </c>
    </row>
    <row r="308" spans="1:2">
      <c r="A308" s="6" t="s">
        <v>312</v>
      </c>
      <c r="B308" s="1">
        <v>8000</v>
      </c>
    </row>
    <row r="309" spans="1:2">
      <c r="A309" s="6" t="s">
        <v>313</v>
      </c>
      <c r="B309" s="1">
        <v>16000</v>
      </c>
    </row>
    <row r="310" spans="1:2">
      <c r="A310" s="6" t="s">
        <v>314</v>
      </c>
      <c r="B310" s="1">
        <v>2500</v>
      </c>
    </row>
    <row r="311" spans="1:2">
      <c r="A311" s="6" t="s">
        <v>315</v>
      </c>
      <c r="B311" s="1">
        <v>2500</v>
      </c>
    </row>
    <row r="312" spans="1:2">
      <c r="A312" s="6" t="s">
        <v>316</v>
      </c>
      <c r="B312" s="1">
        <v>12000</v>
      </c>
    </row>
    <row r="313" spans="1:2">
      <c r="A313" s="6" t="s">
        <v>317</v>
      </c>
      <c r="B313" s="1">
        <v>3000</v>
      </c>
    </row>
    <row r="314" spans="1:2">
      <c r="A314" s="6" t="s">
        <v>318</v>
      </c>
      <c r="B314" s="1">
        <v>4000</v>
      </c>
    </row>
    <row r="315" spans="1:2">
      <c r="A315" s="6" t="s">
        <v>319</v>
      </c>
      <c r="B315" s="1">
        <v>6000</v>
      </c>
    </row>
    <row r="316" spans="1:2">
      <c r="A316" s="6" t="s">
        <v>320</v>
      </c>
      <c r="B316" s="1">
        <v>6000</v>
      </c>
    </row>
    <row r="317" spans="1:2">
      <c r="A317" s="6" t="s">
        <v>321</v>
      </c>
      <c r="B317" s="1">
        <v>6000</v>
      </c>
    </row>
    <row r="318" spans="1:2">
      <c r="A318" s="6" t="s">
        <v>322</v>
      </c>
      <c r="B318" s="1">
        <v>7500</v>
      </c>
    </row>
    <row r="319" spans="1:2">
      <c r="A319" s="6" t="s">
        <v>323</v>
      </c>
      <c r="B319" s="1">
        <v>10000</v>
      </c>
    </row>
    <row r="320" spans="1:2">
      <c r="A320" s="6" t="s">
        <v>324</v>
      </c>
      <c r="B320" s="1">
        <v>2500</v>
      </c>
    </row>
    <row r="321" spans="1:2">
      <c r="A321" s="6" t="s">
        <v>325</v>
      </c>
      <c r="B321" s="1">
        <v>3000</v>
      </c>
    </row>
    <row r="322" spans="1:2">
      <c r="A322" s="6" t="s">
        <v>326</v>
      </c>
      <c r="B322" s="1">
        <v>8000</v>
      </c>
    </row>
    <row r="323" spans="1:2">
      <c r="A323" s="6" t="s">
        <v>327</v>
      </c>
      <c r="B323" s="1">
        <v>8000</v>
      </c>
    </row>
    <row r="324" spans="1:2">
      <c r="A324" s="6" t="s">
        <v>328</v>
      </c>
      <c r="B324" s="1">
        <v>5000</v>
      </c>
    </row>
    <row r="325" spans="1:2">
      <c r="A325" s="6" t="s">
        <v>329</v>
      </c>
      <c r="B325" s="1">
        <v>3000</v>
      </c>
    </row>
    <row r="326" spans="1:2">
      <c r="A326" s="6" t="s">
        <v>330</v>
      </c>
      <c r="B326" s="1">
        <v>5000</v>
      </c>
    </row>
    <row r="327" spans="1:2">
      <c r="A327" s="6" t="s">
        <v>331</v>
      </c>
      <c r="B327" s="1">
        <v>5000</v>
      </c>
    </row>
    <row r="328" spans="1:2">
      <c r="A328" s="6" t="s">
        <v>332</v>
      </c>
      <c r="B328" s="1">
        <v>5000</v>
      </c>
    </row>
    <row r="329" spans="1:2">
      <c r="A329" s="6" t="s">
        <v>333</v>
      </c>
      <c r="B329" s="1">
        <v>2500</v>
      </c>
    </row>
    <row r="330" spans="1:2">
      <c r="A330" s="6" t="s">
        <v>334</v>
      </c>
      <c r="B330" s="1">
        <v>3000</v>
      </c>
    </row>
    <row r="331" spans="1:2">
      <c r="A331" s="6" t="s">
        <v>335</v>
      </c>
      <c r="B331" s="1">
        <v>5000</v>
      </c>
    </row>
    <row r="332" spans="1:2">
      <c r="A332" s="6" t="s">
        <v>336</v>
      </c>
      <c r="B332" s="1">
        <v>6000</v>
      </c>
    </row>
    <row r="333" spans="1:2">
      <c r="A333" s="6" t="s">
        <v>337</v>
      </c>
      <c r="B333" s="1">
        <v>4000</v>
      </c>
    </row>
    <row r="334" spans="1:2">
      <c r="A334" s="6" t="s">
        <v>338</v>
      </c>
      <c r="B334" s="1">
        <v>2500</v>
      </c>
    </row>
    <row r="335" spans="1:2">
      <c r="A335" s="6" t="s">
        <v>339</v>
      </c>
      <c r="B335" s="1">
        <v>7500</v>
      </c>
    </row>
    <row r="336" spans="1:2">
      <c r="A336" s="6" t="s">
        <v>340</v>
      </c>
      <c r="B336" s="1">
        <v>3000</v>
      </c>
    </row>
    <row r="337" spans="1:2">
      <c r="A337" s="6" t="s">
        <v>341</v>
      </c>
      <c r="B337" s="1">
        <v>4000</v>
      </c>
    </row>
    <row r="338" spans="1:2">
      <c r="A338" s="6" t="s">
        <v>342</v>
      </c>
      <c r="B338" s="1">
        <v>5000</v>
      </c>
    </row>
    <row r="339" spans="1:2">
      <c r="A339" s="6" t="s">
        <v>343</v>
      </c>
      <c r="B339" s="1">
        <v>6000</v>
      </c>
    </row>
    <row r="340" spans="1:2">
      <c r="A340" s="6" t="s">
        <v>344</v>
      </c>
      <c r="B340" s="1">
        <v>3000</v>
      </c>
    </row>
    <row r="341" spans="1:2">
      <c r="A341" s="6" t="s">
        <v>345</v>
      </c>
      <c r="B341" s="1">
        <v>7000</v>
      </c>
    </row>
    <row r="342" spans="1:2">
      <c r="A342" s="6" t="s">
        <v>346</v>
      </c>
      <c r="B342" s="1">
        <v>14000</v>
      </c>
    </row>
    <row r="343" spans="1:2">
      <c r="A343" s="6" t="s">
        <v>347</v>
      </c>
      <c r="B343" s="1">
        <v>3000</v>
      </c>
    </row>
    <row r="344" spans="1:2">
      <c r="A344" s="6" t="s">
        <v>348</v>
      </c>
      <c r="B344" s="1">
        <v>8000</v>
      </c>
    </row>
    <row r="345" spans="1:2">
      <c r="A345" s="6" t="s">
        <v>349</v>
      </c>
      <c r="B345" s="1">
        <v>10000</v>
      </c>
    </row>
    <row r="346" spans="1:2">
      <c r="A346" s="6" t="s">
        <v>350</v>
      </c>
      <c r="B346" s="1">
        <v>10000</v>
      </c>
    </row>
    <row r="347" spans="1:2">
      <c r="A347" s="6" t="s">
        <v>351</v>
      </c>
      <c r="B347" s="1">
        <v>10000</v>
      </c>
    </row>
    <row r="348" spans="1:2">
      <c r="A348" s="6" t="s">
        <v>352</v>
      </c>
      <c r="B348" s="1">
        <v>2500</v>
      </c>
    </row>
    <row r="349" spans="1:2">
      <c r="A349" s="6" t="s">
        <v>353</v>
      </c>
      <c r="B349" s="1">
        <v>4000</v>
      </c>
    </row>
    <row r="350" spans="1:2">
      <c r="A350" s="6" t="s">
        <v>354</v>
      </c>
      <c r="B350" s="1">
        <v>7500</v>
      </c>
    </row>
    <row r="351" spans="1:2">
      <c r="A351" s="6" t="s">
        <v>355</v>
      </c>
      <c r="B351" s="1">
        <v>5000</v>
      </c>
    </row>
    <row r="352" spans="1:2">
      <c r="A352" s="6" t="s">
        <v>356</v>
      </c>
      <c r="B352" s="1">
        <v>3000</v>
      </c>
    </row>
    <row r="353" spans="1:2">
      <c r="A353" s="6" t="s">
        <v>357</v>
      </c>
      <c r="B353" s="1">
        <v>8000</v>
      </c>
    </row>
    <row r="354" spans="1:2">
      <c r="A354" s="6" t="s">
        <v>358</v>
      </c>
      <c r="B354" s="1">
        <v>6000</v>
      </c>
    </row>
    <row r="355" spans="1:2">
      <c r="A355" s="6" t="s">
        <v>359</v>
      </c>
      <c r="B355" s="1">
        <v>3000</v>
      </c>
    </row>
    <row r="356" spans="1:2">
      <c r="A356" s="6" t="s">
        <v>360</v>
      </c>
      <c r="B356" s="1">
        <v>6000</v>
      </c>
    </row>
    <row r="357" spans="1:2">
      <c r="A357" s="6" t="s">
        <v>361</v>
      </c>
      <c r="B357" s="1">
        <v>3000</v>
      </c>
    </row>
    <row r="358" spans="1:2">
      <c r="A358" s="6" t="s">
        <v>362</v>
      </c>
      <c r="B358" s="1">
        <v>7500</v>
      </c>
    </row>
    <row r="359" spans="1:2">
      <c r="A359" s="6" t="s">
        <v>363</v>
      </c>
      <c r="B359" s="1">
        <v>5000</v>
      </c>
    </row>
    <row r="360" spans="1:2">
      <c r="A360" s="6" t="s">
        <v>364</v>
      </c>
      <c r="B360" s="1">
        <v>2500</v>
      </c>
    </row>
    <row r="361" spans="1:2">
      <c r="A361" s="6" t="s">
        <v>365</v>
      </c>
      <c r="B361" s="1">
        <v>6000</v>
      </c>
    </row>
    <row r="362" spans="1:2">
      <c r="A362" s="6" t="s">
        <v>366</v>
      </c>
      <c r="B362" s="1">
        <v>3000</v>
      </c>
    </row>
    <row r="363" spans="1:2">
      <c r="A363" s="6" t="s">
        <v>367</v>
      </c>
      <c r="B363" s="1">
        <v>2500</v>
      </c>
    </row>
    <row r="364" spans="1:2">
      <c r="A364" s="6" t="s">
        <v>368</v>
      </c>
      <c r="B364" s="1">
        <v>2500</v>
      </c>
    </row>
    <row r="365" spans="1:2">
      <c r="A365" s="6" t="s">
        <v>369</v>
      </c>
      <c r="B365" s="1">
        <v>5000</v>
      </c>
    </row>
    <row r="366" spans="1:2">
      <c r="A366" s="6" t="s">
        <v>370</v>
      </c>
      <c r="B366" s="1">
        <v>2500</v>
      </c>
    </row>
    <row r="367" spans="1:2">
      <c r="A367" s="6" t="s">
        <v>371</v>
      </c>
      <c r="B367" s="1">
        <v>2500</v>
      </c>
    </row>
    <row r="368" spans="1:2">
      <c r="A368" s="6" t="s">
        <v>372</v>
      </c>
      <c r="B368" s="1">
        <v>2500</v>
      </c>
    </row>
    <row r="369" spans="1:2">
      <c r="A369" s="6" t="s">
        <v>373</v>
      </c>
      <c r="B369" s="1">
        <v>6000</v>
      </c>
    </row>
    <row r="370" spans="1:2">
      <c r="A370" s="6" t="s">
        <v>374</v>
      </c>
      <c r="B370" s="1">
        <v>8000</v>
      </c>
    </row>
    <row r="371" spans="1:2">
      <c r="A371" s="6" t="s">
        <v>375</v>
      </c>
      <c r="B371" s="1">
        <v>8000</v>
      </c>
    </row>
    <row r="372" spans="1:2">
      <c r="A372" s="6" t="s">
        <v>376</v>
      </c>
      <c r="B372" s="1">
        <v>3000</v>
      </c>
    </row>
    <row r="373" spans="1:2">
      <c r="A373" s="6" t="s">
        <v>377</v>
      </c>
      <c r="B373" s="1">
        <v>2500</v>
      </c>
    </row>
    <row r="374" spans="1:2">
      <c r="A374" s="6" t="s">
        <v>378</v>
      </c>
      <c r="B374" s="1">
        <v>5000</v>
      </c>
    </row>
    <row r="375" spans="1:2">
      <c r="A375" s="6" t="s">
        <v>379</v>
      </c>
      <c r="B375" s="1">
        <v>7000</v>
      </c>
    </row>
    <row r="376" spans="1:2">
      <c r="A376" s="6" t="s">
        <v>380</v>
      </c>
      <c r="B376" s="1">
        <v>4000</v>
      </c>
    </row>
    <row r="377" spans="1:2">
      <c r="A377" s="6" t="s">
        <v>381</v>
      </c>
      <c r="B377" s="1">
        <v>4000</v>
      </c>
    </row>
    <row r="378" spans="1:2">
      <c r="A378" s="6" t="s">
        <v>382</v>
      </c>
      <c r="B378" s="1">
        <v>4000</v>
      </c>
    </row>
    <row r="379" spans="1:2">
      <c r="A379" s="6" t="s">
        <v>383</v>
      </c>
      <c r="B379" s="1">
        <v>5000</v>
      </c>
    </row>
    <row r="380" spans="1:2">
      <c r="A380" s="6" t="s">
        <v>384</v>
      </c>
      <c r="B380" s="1">
        <v>6000</v>
      </c>
    </row>
    <row r="381" spans="1:2">
      <c r="A381" s="6" t="s">
        <v>385</v>
      </c>
      <c r="B381" s="1">
        <v>4000</v>
      </c>
    </row>
    <row r="382" spans="1:2">
      <c r="A382" s="6" t="s">
        <v>386</v>
      </c>
      <c r="B382" s="1">
        <v>14000</v>
      </c>
    </row>
    <row r="383" spans="1:2">
      <c r="A383" s="6" t="s">
        <v>387</v>
      </c>
      <c r="B383" s="1">
        <v>6000</v>
      </c>
    </row>
    <row r="384" spans="1:2">
      <c r="A384" s="6" t="s">
        <v>388</v>
      </c>
      <c r="B384" s="1">
        <v>6000</v>
      </c>
    </row>
    <row r="385" spans="1:2">
      <c r="A385" s="6" t="s">
        <v>389</v>
      </c>
      <c r="B385" s="1">
        <v>16000</v>
      </c>
    </row>
    <row r="386" spans="1:2">
      <c r="A386" s="6" t="s">
        <v>390</v>
      </c>
      <c r="B386" s="1">
        <v>2500</v>
      </c>
    </row>
    <row r="387" spans="1:2">
      <c r="A387" s="6" t="s">
        <v>391</v>
      </c>
      <c r="B387" s="1">
        <v>3000</v>
      </c>
    </row>
    <row r="388" spans="1:2">
      <c r="A388" s="6" t="s">
        <v>392</v>
      </c>
      <c r="B388" s="1">
        <v>15000</v>
      </c>
    </row>
    <row r="389" spans="1:2">
      <c r="A389" s="6" t="s">
        <v>393</v>
      </c>
      <c r="B389" s="1">
        <v>5000</v>
      </c>
    </row>
    <row r="390" spans="1:2">
      <c r="A390" s="6" t="s">
        <v>394</v>
      </c>
      <c r="B390" s="1">
        <v>6000</v>
      </c>
    </row>
    <row r="391" spans="1:2">
      <c r="A391" s="6" t="s">
        <v>395</v>
      </c>
      <c r="B391" s="1">
        <v>15000</v>
      </c>
    </row>
    <row r="392" spans="1:2">
      <c r="A392" s="6" t="s">
        <v>396</v>
      </c>
      <c r="B392" s="1">
        <v>5000</v>
      </c>
    </row>
    <row r="393" spans="1:2">
      <c r="A393" s="6" t="s">
        <v>397</v>
      </c>
      <c r="B393" s="1">
        <v>8000</v>
      </c>
    </row>
    <row r="394" spans="1:2">
      <c r="A394" s="6" t="s">
        <v>398</v>
      </c>
      <c r="B394" s="1">
        <v>7500</v>
      </c>
    </row>
    <row r="395" spans="1:2">
      <c r="A395" s="6" t="s">
        <v>399</v>
      </c>
      <c r="B395" s="1">
        <v>8000</v>
      </c>
    </row>
    <row r="396" spans="1:2">
      <c r="A396" s="6" t="s">
        <v>400</v>
      </c>
      <c r="B396" s="1">
        <v>2500</v>
      </c>
    </row>
    <row r="397" spans="1:2">
      <c r="A397" s="6" t="s">
        <v>401</v>
      </c>
      <c r="B397" s="1">
        <v>5000</v>
      </c>
    </row>
    <row r="398" spans="1:2">
      <c r="A398" s="6" t="s">
        <v>402</v>
      </c>
      <c r="B398" s="1">
        <v>6000</v>
      </c>
    </row>
    <row r="399" spans="1:2">
      <c r="A399" s="6" t="s">
        <v>403</v>
      </c>
      <c r="B399" s="1">
        <v>3000</v>
      </c>
    </row>
    <row r="400" spans="1:2">
      <c r="A400" s="6" t="s">
        <v>404</v>
      </c>
      <c r="B400" s="1">
        <v>12000</v>
      </c>
    </row>
    <row r="401" spans="1:2">
      <c r="A401" s="6" t="s">
        <v>405</v>
      </c>
      <c r="B401" s="1">
        <v>3000</v>
      </c>
    </row>
    <row r="402" spans="1:2">
      <c r="A402" s="6" t="s">
        <v>406</v>
      </c>
      <c r="B402" s="1">
        <v>6000</v>
      </c>
    </row>
    <row r="403" spans="1:2">
      <c r="A403" s="6" t="s">
        <v>407</v>
      </c>
      <c r="B403" s="1">
        <v>7500</v>
      </c>
    </row>
    <row r="404" spans="1:2">
      <c r="A404" s="6" t="s">
        <v>408</v>
      </c>
      <c r="B404" s="1">
        <v>5000</v>
      </c>
    </row>
    <row r="405" spans="1:2">
      <c r="A405" s="6" t="s">
        <v>409</v>
      </c>
      <c r="B405" s="1">
        <v>5000</v>
      </c>
    </row>
    <row r="406" spans="1:2">
      <c r="A406" s="6" t="s">
        <v>410</v>
      </c>
      <c r="B406" s="1">
        <v>6000</v>
      </c>
    </row>
    <row r="407" spans="1:2">
      <c r="A407" s="6" t="s">
        <v>411</v>
      </c>
      <c r="B407" s="1">
        <v>3000</v>
      </c>
    </row>
    <row r="408" spans="1:2">
      <c r="A408" s="6" t="s">
        <v>412</v>
      </c>
      <c r="B408" s="1">
        <v>5000</v>
      </c>
    </row>
    <row r="409" spans="1:2">
      <c r="A409" s="6" t="s">
        <v>413</v>
      </c>
      <c r="B409" s="1">
        <v>8000</v>
      </c>
    </row>
    <row r="410" spans="1:2">
      <c r="A410" s="6" t="s">
        <v>414</v>
      </c>
      <c r="B410" s="1">
        <v>6000</v>
      </c>
    </row>
    <row r="411" spans="1:2">
      <c r="A411" s="6" t="s">
        <v>415</v>
      </c>
      <c r="B411" s="1">
        <v>7500</v>
      </c>
    </row>
    <row r="412" spans="1:2">
      <c r="A412" s="6" t="s">
        <v>416</v>
      </c>
      <c r="B412" s="1">
        <v>5000</v>
      </c>
    </row>
    <row r="413" spans="1:2">
      <c r="A413" s="6" t="s">
        <v>417</v>
      </c>
      <c r="B413" s="1">
        <v>2500</v>
      </c>
    </row>
    <row r="414" spans="1:2">
      <c r="A414" s="6" t="s">
        <v>418</v>
      </c>
      <c r="B414" s="1">
        <v>8000</v>
      </c>
    </row>
    <row r="415" spans="1:2">
      <c r="A415" s="6" t="s">
        <v>419</v>
      </c>
      <c r="B415" s="1">
        <v>8000</v>
      </c>
    </row>
    <row r="416" spans="1:2">
      <c r="A416" s="6" t="s">
        <v>420</v>
      </c>
      <c r="B416" s="1">
        <v>7000</v>
      </c>
    </row>
    <row r="417" spans="1:2">
      <c r="A417" s="6" t="s">
        <v>421</v>
      </c>
      <c r="B417" s="1">
        <v>5000</v>
      </c>
    </row>
    <row r="418" spans="1:2">
      <c r="A418" s="6" t="s">
        <v>422</v>
      </c>
      <c r="B418" s="1">
        <v>3000</v>
      </c>
    </row>
    <row r="419" spans="1:2">
      <c r="A419" s="6" t="s">
        <v>423</v>
      </c>
      <c r="B419" s="1">
        <v>5000</v>
      </c>
    </row>
    <row r="420" spans="1:2">
      <c r="A420" s="6" t="s">
        <v>424</v>
      </c>
      <c r="B420" s="1">
        <v>5000</v>
      </c>
    </row>
    <row r="421" spans="1:2">
      <c r="A421" s="6" t="s">
        <v>425</v>
      </c>
      <c r="B421" s="1">
        <v>14000</v>
      </c>
    </row>
    <row r="422" spans="1:2">
      <c r="A422" s="6" t="s">
        <v>426</v>
      </c>
      <c r="B422" s="1">
        <v>2500</v>
      </c>
    </row>
    <row r="423" spans="1:2">
      <c r="A423" s="6" t="s">
        <v>427</v>
      </c>
      <c r="B423" s="1">
        <v>6000</v>
      </c>
    </row>
    <row r="424" spans="1:2">
      <c r="A424" s="6" t="s">
        <v>428</v>
      </c>
      <c r="B424" s="1">
        <v>2500</v>
      </c>
    </row>
    <row r="425" spans="1:2">
      <c r="A425" s="6" t="s">
        <v>429</v>
      </c>
      <c r="B425" s="1">
        <v>10000</v>
      </c>
    </row>
    <row r="426" spans="1:2">
      <c r="A426" s="6" t="s">
        <v>430</v>
      </c>
      <c r="B426" s="1">
        <v>2500</v>
      </c>
    </row>
    <row r="427" spans="1:2">
      <c r="A427" s="6" t="s">
        <v>431</v>
      </c>
      <c r="B427" s="1">
        <v>4000</v>
      </c>
    </row>
    <row r="428" spans="1:2">
      <c r="A428" s="6" t="s">
        <v>432</v>
      </c>
      <c r="B428" s="1">
        <v>5000</v>
      </c>
    </row>
    <row r="429" spans="1:2">
      <c r="A429" s="6" t="s">
        <v>433</v>
      </c>
      <c r="B429" s="1">
        <v>5000</v>
      </c>
    </row>
    <row r="430" spans="1:2">
      <c r="A430" s="6" t="s">
        <v>434</v>
      </c>
      <c r="B430" s="1">
        <v>15000</v>
      </c>
    </row>
    <row r="431" spans="1:2">
      <c r="A431" s="6" t="s">
        <v>435</v>
      </c>
      <c r="B431" s="1">
        <v>5000</v>
      </c>
    </row>
    <row r="432" spans="1:2">
      <c r="A432" s="6" t="s">
        <v>436</v>
      </c>
      <c r="B432" s="1">
        <v>14000</v>
      </c>
    </row>
    <row r="433" spans="1:2">
      <c r="A433" s="6" t="s">
        <v>437</v>
      </c>
      <c r="B433" s="1">
        <v>6000</v>
      </c>
    </row>
    <row r="434" spans="1:2">
      <c r="A434" s="6" t="s">
        <v>438</v>
      </c>
      <c r="B434" s="1">
        <v>6000</v>
      </c>
    </row>
    <row r="435" spans="1:2">
      <c r="A435" s="6" t="s">
        <v>439</v>
      </c>
      <c r="B435" s="1">
        <v>5000</v>
      </c>
    </row>
    <row r="436" spans="1:2">
      <c r="A436" s="6" t="s">
        <v>440</v>
      </c>
      <c r="B436" s="1">
        <v>6000</v>
      </c>
    </row>
    <row r="437" spans="1:2">
      <c r="A437" s="6" t="s">
        <v>441</v>
      </c>
      <c r="B437" s="1">
        <v>7500</v>
      </c>
    </row>
    <row r="438" spans="1:2">
      <c r="A438" s="6" t="s">
        <v>442</v>
      </c>
      <c r="B438" s="1">
        <v>2500</v>
      </c>
    </row>
    <row r="439" spans="1:2">
      <c r="A439" s="6" t="s">
        <v>443</v>
      </c>
      <c r="B439" s="1">
        <v>3000</v>
      </c>
    </row>
    <row r="440" spans="1:2">
      <c r="A440" s="6" t="s">
        <v>444</v>
      </c>
      <c r="B440" s="1">
        <v>6000</v>
      </c>
    </row>
    <row r="441" spans="1:2">
      <c r="A441" s="6" t="s">
        <v>445</v>
      </c>
      <c r="B441" s="1">
        <v>2500</v>
      </c>
    </row>
    <row r="442" spans="1:2">
      <c r="A442" s="6" t="s">
        <v>446</v>
      </c>
      <c r="B442" s="1">
        <v>6000</v>
      </c>
    </row>
    <row r="443" spans="1:2">
      <c r="A443" s="6" t="s">
        <v>447</v>
      </c>
      <c r="B443" s="1">
        <v>5000</v>
      </c>
    </row>
    <row r="444" spans="1:2">
      <c r="A444" s="6" t="s">
        <v>448</v>
      </c>
      <c r="B444" s="1">
        <v>2500</v>
      </c>
    </row>
    <row r="445" spans="1:2">
      <c r="A445" s="6" t="s">
        <v>449</v>
      </c>
      <c r="B445" s="1">
        <v>5000</v>
      </c>
    </row>
    <row r="446" spans="1:2">
      <c r="A446" s="6" t="s">
        <v>450</v>
      </c>
      <c r="B446" s="1">
        <v>3000</v>
      </c>
    </row>
    <row r="447" spans="1:2">
      <c r="A447" s="6" t="s">
        <v>451</v>
      </c>
      <c r="B447" s="1">
        <v>5000</v>
      </c>
    </row>
    <row r="448" spans="1:2">
      <c r="A448" s="6" t="s">
        <v>452</v>
      </c>
      <c r="B448" s="1">
        <v>6000</v>
      </c>
    </row>
    <row r="449" spans="1:2">
      <c r="A449" s="6" t="s">
        <v>453</v>
      </c>
      <c r="B449" s="1">
        <v>6000</v>
      </c>
    </row>
    <row r="450" spans="1:2">
      <c r="A450" s="6" t="s">
        <v>454</v>
      </c>
      <c r="B450" s="1">
        <v>2500</v>
      </c>
    </row>
    <row r="451" spans="1:2">
      <c r="A451" s="6" t="s">
        <v>455</v>
      </c>
      <c r="B451" s="1">
        <v>3000</v>
      </c>
    </row>
    <row r="452" spans="1:2">
      <c r="A452" s="6" t="s">
        <v>456</v>
      </c>
      <c r="B452" s="1">
        <v>3000</v>
      </c>
    </row>
    <row r="453" spans="1:2">
      <c r="A453" s="6" t="s">
        <v>457</v>
      </c>
      <c r="B453" s="1">
        <v>5000</v>
      </c>
    </row>
    <row r="454" spans="1:2">
      <c r="A454" s="6" t="s">
        <v>458</v>
      </c>
      <c r="B454" s="1">
        <v>2500</v>
      </c>
    </row>
    <row r="455" spans="1:2">
      <c r="A455" s="6" t="s">
        <v>459</v>
      </c>
      <c r="B455" s="1">
        <v>2500</v>
      </c>
    </row>
    <row r="456" spans="1:2">
      <c r="A456" s="6" t="s">
        <v>460</v>
      </c>
      <c r="B456" s="1">
        <v>7500</v>
      </c>
    </row>
    <row r="457" spans="1:2">
      <c r="A457" s="6" t="s">
        <v>461</v>
      </c>
      <c r="B457" s="1">
        <v>7500</v>
      </c>
    </row>
    <row r="458" spans="1:2">
      <c r="A458" s="6" t="s">
        <v>462</v>
      </c>
      <c r="B458" s="1">
        <v>2500</v>
      </c>
    </row>
    <row r="459" spans="1:2">
      <c r="A459" s="6" t="s">
        <v>463</v>
      </c>
      <c r="B459" s="1">
        <v>5000</v>
      </c>
    </row>
    <row r="460" spans="1:2">
      <c r="A460" s="6" t="s">
        <v>464</v>
      </c>
      <c r="B460" s="1">
        <v>5000</v>
      </c>
    </row>
    <row r="461" spans="1:2">
      <c r="A461" s="6" t="s">
        <v>465</v>
      </c>
      <c r="B461" s="1">
        <v>5000</v>
      </c>
    </row>
    <row r="462" spans="1:2">
      <c r="A462" s="6" t="s">
        <v>466</v>
      </c>
      <c r="B462" s="1">
        <v>3000</v>
      </c>
    </row>
    <row r="463" spans="1:2">
      <c r="A463" s="6" t="s">
        <v>467</v>
      </c>
      <c r="B463" s="1">
        <v>3000</v>
      </c>
    </row>
    <row r="464" spans="1:2">
      <c r="A464" s="6" t="s">
        <v>468</v>
      </c>
      <c r="B464" s="1">
        <v>3000</v>
      </c>
    </row>
    <row r="465" spans="1:2">
      <c r="A465" s="6" t="s">
        <v>469</v>
      </c>
      <c r="B465" s="1">
        <v>6000</v>
      </c>
    </row>
    <row r="466" spans="1:2">
      <c r="A466" s="6" t="s">
        <v>470</v>
      </c>
      <c r="B466" s="1">
        <v>5000</v>
      </c>
    </row>
    <row r="467" spans="1:2">
      <c r="A467" s="6" t="s">
        <v>471</v>
      </c>
      <c r="B467" s="1">
        <v>2500</v>
      </c>
    </row>
    <row r="468" spans="1:2">
      <c r="A468" s="6" t="s">
        <v>472</v>
      </c>
      <c r="B468" s="1">
        <v>2500</v>
      </c>
    </row>
    <row r="469" spans="1:2">
      <c r="A469" s="6" t="s">
        <v>473</v>
      </c>
      <c r="B469" s="1">
        <v>2500</v>
      </c>
    </row>
    <row r="470" spans="1:2">
      <c r="A470" s="6" t="s">
        <v>474</v>
      </c>
      <c r="B470" s="1">
        <v>7500</v>
      </c>
    </row>
    <row r="471" spans="1:2">
      <c r="A471" s="6" t="s">
        <v>475</v>
      </c>
      <c r="B471" s="1">
        <v>5000</v>
      </c>
    </row>
    <row r="472" spans="1:2">
      <c r="A472" s="6" t="s">
        <v>476</v>
      </c>
      <c r="B472" s="1">
        <v>3000</v>
      </c>
    </row>
    <row r="473" spans="1:2">
      <c r="A473" s="6" t="s">
        <v>477</v>
      </c>
      <c r="B473" s="1">
        <v>3000</v>
      </c>
    </row>
    <row r="474" spans="1:2">
      <c r="A474" s="6" t="s">
        <v>478</v>
      </c>
      <c r="B474" s="1">
        <v>14000</v>
      </c>
    </row>
    <row r="475" spans="1:2">
      <c r="A475" s="6" t="s">
        <v>479</v>
      </c>
      <c r="B475" s="1">
        <v>2500</v>
      </c>
    </row>
    <row r="476" spans="1:2">
      <c r="A476" s="6" t="s">
        <v>480</v>
      </c>
      <c r="B476" s="1">
        <v>5000</v>
      </c>
    </row>
    <row r="477" spans="1:2">
      <c r="A477" s="6" t="s">
        <v>481</v>
      </c>
      <c r="B477" s="1">
        <v>7500</v>
      </c>
    </row>
    <row r="478" spans="1:2">
      <c r="A478" s="6" t="s">
        <v>482</v>
      </c>
      <c r="B478" s="1">
        <v>5000</v>
      </c>
    </row>
    <row r="479" spans="1:2">
      <c r="A479" s="6" t="s">
        <v>483</v>
      </c>
      <c r="B479" s="1">
        <v>2500</v>
      </c>
    </row>
    <row r="480" spans="1:2">
      <c r="A480" s="6" t="s">
        <v>484</v>
      </c>
      <c r="B480" s="1">
        <v>6000</v>
      </c>
    </row>
    <row r="481" spans="1:2">
      <c r="A481" s="6" t="s">
        <v>485</v>
      </c>
      <c r="B481" s="1">
        <v>4000</v>
      </c>
    </row>
    <row r="482" spans="1:2">
      <c r="A482" s="6" t="s">
        <v>486</v>
      </c>
      <c r="B482" s="1">
        <v>5000</v>
      </c>
    </row>
    <row r="483" spans="1:2">
      <c r="A483" s="6" t="s">
        <v>487</v>
      </c>
      <c r="B483" s="1">
        <v>6000</v>
      </c>
    </row>
    <row r="484" spans="1:2">
      <c r="A484" s="6" t="s">
        <v>488</v>
      </c>
      <c r="B484" s="1">
        <v>5000</v>
      </c>
    </row>
    <row r="485" spans="1:2">
      <c r="A485" s="6" t="s">
        <v>489</v>
      </c>
      <c r="B485" s="1">
        <v>15000</v>
      </c>
    </row>
    <row r="486" spans="1:2">
      <c r="A486" s="6" t="s">
        <v>490</v>
      </c>
      <c r="B486" s="1">
        <v>7000</v>
      </c>
    </row>
    <row r="487" spans="1:2">
      <c r="A487" s="6" t="s">
        <v>491</v>
      </c>
      <c r="B487" s="1">
        <v>6000</v>
      </c>
    </row>
    <row r="488" spans="1:2">
      <c r="A488" s="6" t="s">
        <v>492</v>
      </c>
      <c r="B488" s="1">
        <v>7500</v>
      </c>
    </row>
    <row r="489" spans="1:2">
      <c r="A489" s="6" t="s">
        <v>493</v>
      </c>
      <c r="B489" s="1">
        <v>5000</v>
      </c>
    </row>
    <row r="490" spans="1:2">
      <c r="A490" s="6" t="s">
        <v>494</v>
      </c>
      <c r="B490" s="1">
        <v>7500</v>
      </c>
    </row>
    <row r="491" spans="1:2">
      <c r="A491" s="6" t="s">
        <v>495</v>
      </c>
      <c r="B491" s="1">
        <v>7500</v>
      </c>
    </row>
    <row r="492" spans="1:2">
      <c r="A492" s="6" t="s">
        <v>496</v>
      </c>
      <c r="B492" s="1">
        <v>8000</v>
      </c>
    </row>
    <row r="493" spans="1:2">
      <c r="A493" s="6" t="s">
        <v>497</v>
      </c>
      <c r="B493" s="1">
        <v>6000</v>
      </c>
    </row>
    <row r="494" spans="1:2">
      <c r="A494" s="6" t="s">
        <v>498</v>
      </c>
      <c r="B494" s="1">
        <v>6000</v>
      </c>
    </row>
    <row r="495" spans="1:2">
      <c r="A495" s="6" t="s">
        <v>499</v>
      </c>
      <c r="B495" s="1">
        <v>2500</v>
      </c>
    </row>
    <row r="496" spans="1:2">
      <c r="A496" s="6" t="s">
        <v>500</v>
      </c>
      <c r="B496" s="1">
        <v>7500</v>
      </c>
    </row>
    <row r="497" spans="1:2">
      <c r="A497" s="6" t="s">
        <v>501</v>
      </c>
      <c r="B497" s="1">
        <v>3000</v>
      </c>
    </row>
    <row r="498" spans="1:2">
      <c r="A498" s="6" t="s">
        <v>502</v>
      </c>
      <c r="B498" s="1">
        <v>10000</v>
      </c>
    </row>
    <row r="499" spans="1:2">
      <c r="A499" s="6" t="s">
        <v>503</v>
      </c>
      <c r="B499" s="1">
        <v>5000</v>
      </c>
    </row>
    <row r="500" spans="1:2">
      <c r="A500" s="6" t="s">
        <v>504</v>
      </c>
      <c r="B500" s="1">
        <v>7000</v>
      </c>
    </row>
    <row r="501" spans="1:2">
      <c r="A501" s="6" t="s">
        <v>505</v>
      </c>
      <c r="B501" s="1">
        <v>7500</v>
      </c>
    </row>
    <row r="502" spans="1:2">
      <c r="A502" s="6" t="s">
        <v>506</v>
      </c>
      <c r="B502" s="1">
        <v>2500</v>
      </c>
    </row>
    <row r="503" spans="1:2">
      <c r="A503" s="6" t="s">
        <v>507</v>
      </c>
      <c r="B503" s="1">
        <v>14000</v>
      </c>
    </row>
    <row r="504" spans="1:2">
      <c r="A504" s="6" t="s">
        <v>508</v>
      </c>
      <c r="B504" s="1">
        <v>6000</v>
      </c>
    </row>
    <row r="505" spans="1:2">
      <c r="A505" s="6" t="s">
        <v>509</v>
      </c>
      <c r="B505" s="1">
        <v>2500</v>
      </c>
    </row>
    <row r="506" spans="1:2">
      <c r="A506" s="6" t="s">
        <v>510</v>
      </c>
      <c r="B506" s="1">
        <v>5000</v>
      </c>
    </row>
    <row r="507" spans="1:2">
      <c r="A507" s="6" t="s">
        <v>511</v>
      </c>
      <c r="B507" s="1">
        <v>3000</v>
      </c>
    </row>
    <row r="508" spans="1:2">
      <c r="A508" s="6" t="s">
        <v>512</v>
      </c>
      <c r="B508" s="1">
        <v>6000</v>
      </c>
    </row>
    <row r="509" spans="1:2">
      <c r="A509" s="6" t="s">
        <v>513</v>
      </c>
      <c r="B509" s="1">
        <v>10000</v>
      </c>
    </row>
    <row r="510" spans="1:2">
      <c r="A510" s="6" t="s">
        <v>514</v>
      </c>
      <c r="B510" s="1">
        <v>7000</v>
      </c>
    </row>
    <row r="511" spans="1:2">
      <c r="A511" s="6" t="s">
        <v>515</v>
      </c>
      <c r="B511" s="1">
        <v>6000</v>
      </c>
    </row>
    <row r="512" spans="1:2">
      <c r="A512" s="6" t="s">
        <v>516</v>
      </c>
      <c r="B512" s="1">
        <v>3000</v>
      </c>
    </row>
    <row r="513" spans="1:2">
      <c r="A513" s="6" t="s">
        <v>517</v>
      </c>
      <c r="B513" s="1">
        <v>16000</v>
      </c>
    </row>
    <row r="514" spans="1:2">
      <c r="A514" s="6" t="s">
        <v>518</v>
      </c>
      <c r="B514" s="1">
        <v>2500</v>
      </c>
    </row>
    <row r="515" spans="1:2">
      <c r="A515" s="6" t="s">
        <v>519</v>
      </c>
      <c r="B515" s="1">
        <v>2500</v>
      </c>
    </row>
    <row r="516" spans="1:2">
      <c r="A516" s="6" t="s">
        <v>520</v>
      </c>
      <c r="B516" s="1">
        <v>3000</v>
      </c>
    </row>
    <row r="517" spans="1:2">
      <c r="A517" s="6" t="s">
        <v>521</v>
      </c>
      <c r="B517" s="1">
        <v>3000</v>
      </c>
    </row>
    <row r="518" spans="1:2">
      <c r="A518" s="6" t="s">
        <v>522</v>
      </c>
      <c r="B518" s="1">
        <v>6000</v>
      </c>
    </row>
    <row r="519" spans="1:2">
      <c r="A519" s="6" t="s">
        <v>523</v>
      </c>
      <c r="B519" s="1">
        <v>5000</v>
      </c>
    </row>
    <row r="520" spans="1:2">
      <c r="A520" s="6" t="s">
        <v>524</v>
      </c>
      <c r="B520" s="1">
        <v>5000</v>
      </c>
    </row>
    <row r="521" spans="1:2">
      <c r="A521" s="6" t="s">
        <v>525</v>
      </c>
      <c r="B521" s="1">
        <v>2500</v>
      </c>
    </row>
    <row r="522" spans="1:2">
      <c r="A522" s="6" t="s">
        <v>526</v>
      </c>
      <c r="B522" s="1">
        <v>2500</v>
      </c>
    </row>
    <row r="523" spans="1:2">
      <c r="A523" s="6" t="s">
        <v>527</v>
      </c>
      <c r="B523" s="1">
        <v>5000</v>
      </c>
    </row>
    <row r="524" spans="1:2">
      <c r="A524" s="6" t="s">
        <v>528</v>
      </c>
      <c r="B524" s="1">
        <v>2500</v>
      </c>
    </row>
    <row r="525" spans="1:2">
      <c r="A525" s="6" t="s">
        <v>529</v>
      </c>
      <c r="B525" s="1">
        <v>5000</v>
      </c>
    </row>
    <row r="526" spans="1:2">
      <c r="A526" s="6" t="s">
        <v>530</v>
      </c>
      <c r="B526" s="1">
        <v>2500</v>
      </c>
    </row>
    <row r="527" spans="1:2">
      <c r="A527" s="6" t="s">
        <v>531</v>
      </c>
      <c r="B527" s="1">
        <v>7500</v>
      </c>
    </row>
    <row r="528" spans="1:2">
      <c r="A528" s="6" t="s">
        <v>532</v>
      </c>
      <c r="B528" s="1">
        <v>3000</v>
      </c>
    </row>
    <row r="529" spans="1:2">
      <c r="A529" s="6" t="s">
        <v>533</v>
      </c>
      <c r="B529" s="1">
        <v>7500</v>
      </c>
    </row>
    <row r="530" spans="1:2">
      <c r="A530" s="6" t="s">
        <v>534</v>
      </c>
      <c r="B530" s="1">
        <v>5000</v>
      </c>
    </row>
    <row r="531" spans="1:2">
      <c r="A531" s="6" t="s">
        <v>535</v>
      </c>
      <c r="B531" s="1">
        <v>2500</v>
      </c>
    </row>
    <row r="532" spans="1:2">
      <c r="A532" s="6" t="s">
        <v>536</v>
      </c>
      <c r="B532" s="1">
        <v>12000</v>
      </c>
    </row>
    <row r="533" spans="1:2">
      <c r="A533" s="6" t="s">
        <v>537</v>
      </c>
      <c r="B533" s="1">
        <v>4000</v>
      </c>
    </row>
    <row r="534" spans="1:2">
      <c r="A534" s="6" t="s">
        <v>538</v>
      </c>
      <c r="B534" s="1">
        <v>5000</v>
      </c>
    </row>
    <row r="535" spans="1:2">
      <c r="A535" s="6" t="s">
        <v>539</v>
      </c>
      <c r="B535" s="1">
        <v>14000</v>
      </c>
    </row>
    <row r="536" spans="1:2">
      <c r="A536" s="6" t="s">
        <v>540</v>
      </c>
      <c r="B536" s="1">
        <v>14000</v>
      </c>
    </row>
    <row r="537" spans="1:2">
      <c r="A537" s="6" t="s">
        <v>541</v>
      </c>
      <c r="B537" s="1">
        <v>6000</v>
      </c>
    </row>
    <row r="538" spans="1:2">
      <c r="A538" s="6" t="s">
        <v>542</v>
      </c>
      <c r="B538" s="1">
        <v>3000</v>
      </c>
    </row>
    <row r="539" spans="1:2">
      <c r="A539" s="6" t="s">
        <v>543</v>
      </c>
      <c r="B539" s="1">
        <v>6000</v>
      </c>
    </row>
    <row r="540" spans="1:2">
      <c r="A540" s="6" t="s">
        <v>544</v>
      </c>
      <c r="B540" s="1">
        <v>7000</v>
      </c>
    </row>
    <row r="541" spans="1:2">
      <c r="A541" s="6" t="s">
        <v>545</v>
      </c>
      <c r="B541" s="1">
        <v>15000</v>
      </c>
    </row>
    <row r="542" spans="1:2">
      <c r="A542" s="6" t="s">
        <v>546</v>
      </c>
      <c r="B542" s="1">
        <v>12000</v>
      </c>
    </row>
    <row r="543" spans="1:2">
      <c r="A543" s="6" t="s">
        <v>547</v>
      </c>
      <c r="B543" s="1">
        <v>2500</v>
      </c>
    </row>
    <row r="544" spans="1:2">
      <c r="A544" s="6" t="s">
        <v>548</v>
      </c>
      <c r="B544" s="1">
        <v>4000</v>
      </c>
    </row>
    <row r="545" spans="1:2">
      <c r="A545" s="6" t="s">
        <v>549</v>
      </c>
      <c r="B545" s="1">
        <v>8000</v>
      </c>
    </row>
    <row r="546" spans="1:2">
      <c r="A546" s="6" t="s">
        <v>550</v>
      </c>
      <c r="B546" s="1">
        <v>8000</v>
      </c>
    </row>
    <row r="547" spans="1:2">
      <c r="A547" s="6" t="s">
        <v>551</v>
      </c>
      <c r="B547" s="1">
        <v>2500</v>
      </c>
    </row>
    <row r="548" spans="1:2">
      <c r="A548" s="6" t="s">
        <v>552</v>
      </c>
      <c r="B548" s="1">
        <v>2500</v>
      </c>
    </row>
    <row r="549" spans="1:2">
      <c r="A549" s="6" t="s">
        <v>553</v>
      </c>
      <c r="B549" s="1">
        <v>3000</v>
      </c>
    </row>
    <row r="550" spans="1:2">
      <c r="A550" s="6" t="s">
        <v>554</v>
      </c>
      <c r="B550" s="1">
        <v>14000</v>
      </c>
    </row>
    <row r="551" spans="1:2">
      <c r="A551" s="6" t="s">
        <v>555</v>
      </c>
      <c r="B551" s="1">
        <v>8000</v>
      </c>
    </row>
    <row r="552" spans="1:2">
      <c r="A552" s="6" t="s">
        <v>556</v>
      </c>
      <c r="B552" s="1">
        <v>3000</v>
      </c>
    </row>
    <row r="553" spans="1:2">
      <c r="A553" s="6" t="s">
        <v>557</v>
      </c>
      <c r="B553" s="1">
        <v>10000</v>
      </c>
    </row>
    <row r="554" spans="1:2">
      <c r="A554" s="6" t="s">
        <v>558</v>
      </c>
      <c r="B554" s="1">
        <v>3000</v>
      </c>
    </row>
    <row r="555" spans="1:2">
      <c r="A555" s="6" t="s">
        <v>559</v>
      </c>
      <c r="B555" s="1">
        <v>4000</v>
      </c>
    </row>
    <row r="556" spans="1:2">
      <c r="A556" s="6" t="s">
        <v>560</v>
      </c>
      <c r="B556" s="1">
        <v>3000</v>
      </c>
    </row>
    <row r="557" spans="1:2">
      <c r="A557" s="6" t="s">
        <v>561</v>
      </c>
      <c r="B557" s="1">
        <v>6000</v>
      </c>
    </row>
    <row r="558" spans="1:2">
      <c r="A558" s="6" t="s">
        <v>562</v>
      </c>
      <c r="B558" s="1">
        <v>8000</v>
      </c>
    </row>
    <row r="559" spans="1:2">
      <c r="A559" s="6" t="s">
        <v>563</v>
      </c>
      <c r="B559" s="1">
        <v>5000</v>
      </c>
    </row>
    <row r="560" spans="1:2">
      <c r="A560" s="6" t="s">
        <v>564</v>
      </c>
      <c r="B560" s="1">
        <v>5000</v>
      </c>
    </row>
    <row r="561" spans="1:2">
      <c r="A561" s="6" t="s">
        <v>565</v>
      </c>
      <c r="B561" s="1">
        <v>6000</v>
      </c>
    </row>
    <row r="562" spans="1:2">
      <c r="A562" s="6" t="s">
        <v>566</v>
      </c>
      <c r="B562" s="1">
        <v>5000</v>
      </c>
    </row>
    <row r="563" spans="1:2">
      <c r="A563" s="6" t="s">
        <v>567</v>
      </c>
      <c r="B563" s="1">
        <v>2500</v>
      </c>
    </row>
    <row r="564" spans="1:2">
      <c r="A564" s="6" t="s">
        <v>568</v>
      </c>
      <c r="B564" s="1">
        <v>6000</v>
      </c>
    </row>
    <row r="565" spans="1:2">
      <c r="A565" s="6" t="s">
        <v>569</v>
      </c>
      <c r="B565" s="1">
        <v>3000</v>
      </c>
    </row>
    <row r="566" spans="1:2">
      <c r="A566" s="6" t="s">
        <v>570</v>
      </c>
      <c r="B566" s="1">
        <v>3000</v>
      </c>
    </row>
    <row r="567" spans="1:2">
      <c r="A567" s="6" t="s">
        <v>571</v>
      </c>
      <c r="B567" s="1">
        <v>3000</v>
      </c>
    </row>
    <row r="568" spans="1:2">
      <c r="A568" s="6" t="s">
        <v>572</v>
      </c>
      <c r="B568" s="1">
        <v>7500</v>
      </c>
    </row>
    <row r="569" spans="1:2">
      <c r="A569" s="6" t="s">
        <v>573</v>
      </c>
      <c r="B569" s="1">
        <v>3000</v>
      </c>
    </row>
    <row r="570" spans="1:2">
      <c r="A570" s="6" t="s">
        <v>574</v>
      </c>
      <c r="B570" s="1">
        <v>3000</v>
      </c>
    </row>
    <row r="571" spans="1:2">
      <c r="A571" s="6" t="s">
        <v>575</v>
      </c>
      <c r="B571" s="1">
        <v>8000</v>
      </c>
    </row>
    <row r="572" spans="1:2">
      <c r="A572" s="6" t="s">
        <v>576</v>
      </c>
      <c r="B572" s="1">
        <v>5000</v>
      </c>
    </row>
    <row r="573" spans="1:2">
      <c r="A573" s="6" t="s">
        <v>577</v>
      </c>
      <c r="B573" s="1">
        <v>10000</v>
      </c>
    </row>
    <row r="574" spans="1:2">
      <c r="A574" s="6" t="s">
        <v>578</v>
      </c>
      <c r="B574" s="1">
        <v>5000</v>
      </c>
    </row>
    <row r="575" spans="1:2">
      <c r="A575" s="6" t="s">
        <v>579</v>
      </c>
      <c r="B575" s="1">
        <v>2500</v>
      </c>
    </row>
    <row r="576" spans="1:2">
      <c r="A576" s="6" t="s">
        <v>580</v>
      </c>
      <c r="B576" s="1">
        <v>6000</v>
      </c>
    </row>
    <row r="577" spans="1:2">
      <c r="A577" s="6" t="s">
        <v>581</v>
      </c>
      <c r="B577" s="1">
        <v>2500</v>
      </c>
    </row>
    <row r="578" spans="1:2">
      <c r="A578" s="6" t="s">
        <v>582</v>
      </c>
      <c r="B578" s="1">
        <v>6000</v>
      </c>
    </row>
    <row r="579" spans="1:2">
      <c r="A579" s="6" t="s">
        <v>583</v>
      </c>
      <c r="B579" s="1">
        <v>5000</v>
      </c>
    </row>
    <row r="580" spans="1:2">
      <c r="A580" s="6" t="s">
        <v>584</v>
      </c>
      <c r="B580" s="1">
        <v>8000</v>
      </c>
    </row>
    <row r="581" spans="1:2">
      <c r="A581" s="6" t="s">
        <v>585</v>
      </c>
      <c r="B581" s="1">
        <v>3000</v>
      </c>
    </row>
    <row r="582" spans="1:2">
      <c r="A582" s="6" t="s">
        <v>586</v>
      </c>
      <c r="B582" s="1">
        <v>3000</v>
      </c>
    </row>
    <row r="583" spans="1:2">
      <c r="A583" s="6" t="s">
        <v>587</v>
      </c>
      <c r="B583" s="1">
        <v>8000</v>
      </c>
    </row>
    <row r="584" spans="1:2">
      <c r="A584" s="6" t="s">
        <v>588</v>
      </c>
      <c r="B584" s="1">
        <v>5000</v>
      </c>
    </row>
    <row r="585" spans="1:2">
      <c r="A585" s="6" t="s">
        <v>589</v>
      </c>
      <c r="B585" s="1">
        <v>4000</v>
      </c>
    </row>
    <row r="586" spans="1:2">
      <c r="A586" s="6" t="s">
        <v>590</v>
      </c>
      <c r="B586" s="1">
        <v>4000</v>
      </c>
    </row>
    <row r="587" spans="1:2">
      <c r="A587" s="6" t="s">
        <v>591</v>
      </c>
      <c r="B587" s="1">
        <v>5000</v>
      </c>
    </row>
    <row r="588" spans="1:2">
      <c r="A588" s="6" t="s">
        <v>592</v>
      </c>
      <c r="B588" s="1">
        <v>3000</v>
      </c>
    </row>
    <row r="589" spans="1:2">
      <c r="A589" s="6" t="s">
        <v>593</v>
      </c>
      <c r="B589" s="1">
        <v>2500</v>
      </c>
    </row>
    <row r="590" spans="1:2">
      <c r="A590" s="6" t="s">
        <v>594</v>
      </c>
      <c r="B590" s="1">
        <v>5000</v>
      </c>
    </row>
    <row r="591" spans="1:2">
      <c r="A591" s="6" t="s">
        <v>595</v>
      </c>
      <c r="B591" s="1">
        <v>5000</v>
      </c>
    </row>
    <row r="592" spans="1:2">
      <c r="A592" s="6" t="s">
        <v>596</v>
      </c>
      <c r="B592" s="1">
        <v>8000</v>
      </c>
    </row>
    <row r="593" spans="1:2">
      <c r="A593" s="6" t="s">
        <v>597</v>
      </c>
      <c r="B593" s="1">
        <v>5000</v>
      </c>
    </row>
    <row r="594" spans="1:2">
      <c r="A594" s="6" t="s">
        <v>598</v>
      </c>
      <c r="B594" s="1">
        <v>2500</v>
      </c>
    </row>
    <row r="595" spans="1:2">
      <c r="A595" s="6" t="s">
        <v>599</v>
      </c>
      <c r="B595" s="1">
        <v>3000</v>
      </c>
    </row>
    <row r="596" spans="1:2">
      <c r="A596" s="6" t="s">
        <v>600</v>
      </c>
      <c r="B596" s="1">
        <v>5000</v>
      </c>
    </row>
    <row r="597" spans="1:2">
      <c r="A597" s="6" t="s">
        <v>601</v>
      </c>
      <c r="B597" s="1">
        <v>7500</v>
      </c>
    </row>
    <row r="598" spans="1:2">
      <c r="A598" s="6" t="s">
        <v>602</v>
      </c>
      <c r="B598" s="1">
        <v>3000</v>
      </c>
    </row>
    <row r="599" spans="1:2">
      <c r="A599" s="6" t="s">
        <v>603</v>
      </c>
      <c r="B599" s="1">
        <v>2500</v>
      </c>
    </row>
    <row r="600" spans="1:2">
      <c r="A600" s="6" t="s">
        <v>604</v>
      </c>
      <c r="B600" s="1">
        <v>7500</v>
      </c>
    </row>
    <row r="601" spans="1:2">
      <c r="A601" s="6" t="s">
        <v>605</v>
      </c>
      <c r="B601" s="1">
        <v>2500</v>
      </c>
    </row>
    <row r="602" spans="1:2">
      <c r="A602" s="6" t="s">
        <v>606</v>
      </c>
      <c r="B602" s="1">
        <v>3000</v>
      </c>
    </row>
    <row r="603" spans="1:2">
      <c r="A603" s="6" t="s">
        <v>607</v>
      </c>
      <c r="B603" s="1">
        <v>5000</v>
      </c>
    </row>
    <row r="604" spans="1:2">
      <c r="A604" s="6" t="s">
        <v>608</v>
      </c>
      <c r="B604" s="1">
        <v>3000</v>
      </c>
    </row>
    <row r="605" spans="1:2">
      <c r="A605" s="6" t="s">
        <v>609</v>
      </c>
      <c r="B605" s="1">
        <v>3000</v>
      </c>
    </row>
    <row r="606" spans="1:2">
      <c r="A606" s="6" t="s">
        <v>610</v>
      </c>
      <c r="B606" s="1">
        <v>6000</v>
      </c>
    </row>
    <row r="607" spans="1:2">
      <c r="A607" s="6" t="s">
        <v>611</v>
      </c>
      <c r="B607" s="1">
        <v>2500</v>
      </c>
    </row>
    <row r="608" spans="1:2">
      <c r="A608" s="6" t="s">
        <v>612</v>
      </c>
      <c r="B608" s="1">
        <v>8000</v>
      </c>
    </row>
    <row r="609" spans="1:2">
      <c r="A609" s="6" t="s">
        <v>613</v>
      </c>
      <c r="B609" s="1">
        <v>12000</v>
      </c>
    </row>
    <row r="610" spans="1:2">
      <c r="A610" s="6" t="s">
        <v>614</v>
      </c>
      <c r="B610" s="1">
        <v>3000</v>
      </c>
    </row>
    <row r="611" spans="1:2">
      <c r="A611" s="6" t="s">
        <v>615</v>
      </c>
      <c r="B611" s="1">
        <v>7500</v>
      </c>
    </row>
    <row r="612" spans="1:2">
      <c r="A612" s="6" t="s">
        <v>616</v>
      </c>
      <c r="B612" s="1">
        <v>2500</v>
      </c>
    </row>
    <row r="613" spans="1:2">
      <c r="A613" s="6" t="s">
        <v>617</v>
      </c>
      <c r="B613" s="1">
        <v>6000</v>
      </c>
    </row>
    <row r="614" spans="1:2">
      <c r="A614" s="6" t="s">
        <v>618</v>
      </c>
      <c r="B614" s="1">
        <v>2500</v>
      </c>
    </row>
    <row r="615" spans="1:2">
      <c r="A615" s="6" t="s">
        <v>619</v>
      </c>
      <c r="B615" s="1">
        <v>3000</v>
      </c>
    </row>
    <row r="616" spans="1:2">
      <c r="A616" s="6" t="s">
        <v>620</v>
      </c>
      <c r="B616" s="1">
        <v>3000</v>
      </c>
    </row>
    <row r="617" spans="1:2">
      <c r="A617" s="6" t="s">
        <v>621</v>
      </c>
      <c r="B617" s="1">
        <v>6000</v>
      </c>
    </row>
    <row r="618" spans="1:2">
      <c r="A618" s="6" t="s">
        <v>622</v>
      </c>
      <c r="B618" s="1">
        <v>4000</v>
      </c>
    </row>
    <row r="619" spans="1:2">
      <c r="A619" s="6" t="s">
        <v>623</v>
      </c>
      <c r="B619" s="1">
        <v>2500</v>
      </c>
    </row>
    <row r="620" spans="1:2">
      <c r="A620" s="6" t="s">
        <v>624</v>
      </c>
      <c r="B620" s="1">
        <v>6000</v>
      </c>
    </row>
    <row r="621" spans="1:2">
      <c r="A621" s="6" t="s">
        <v>625</v>
      </c>
      <c r="B621" s="1">
        <v>5000</v>
      </c>
    </row>
    <row r="622" spans="1:2">
      <c r="A622" s="6" t="s">
        <v>626</v>
      </c>
      <c r="B622" s="1">
        <v>4000</v>
      </c>
    </row>
    <row r="623" spans="1:2">
      <c r="A623" s="6" t="s">
        <v>627</v>
      </c>
      <c r="B623" s="1">
        <v>2500</v>
      </c>
    </row>
    <row r="624" spans="1:2">
      <c r="A624" s="6" t="s">
        <v>628</v>
      </c>
      <c r="B624" s="1">
        <v>6000</v>
      </c>
    </row>
    <row r="625" spans="1:2">
      <c r="A625" s="6" t="s">
        <v>629</v>
      </c>
      <c r="B625" s="1">
        <v>2500</v>
      </c>
    </row>
    <row r="626" spans="1:2">
      <c r="A626" s="6" t="s">
        <v>630</v>
      </c>
      <c r="B626" s="1">
        <v>3000</v>
      </c>
    </row>
    <row r="627" spans="1:2">
      <c r="A627" s="6" t="s">
        <v>631</v>
      </c>
      <c r="B627" s="1">
        <v>5000</v>
      </c>
    </row>
    <row r="628" spans="1:2">
      <c r="A628" s="6" t="s">
        <v>632</v>
      </c>
      <c r="B628" s="1">
        <v>5000</v>
      </c>
    </row>
    <row r="629" spans="1:2">
      <c r="A629" s="6" t="s">
        <v>633</v>
      </c>
      <c r="B629" s="1">
        <v>2500</v>
      </c>
    </row>
    <row r="630" spans="1:2">
      <c r="A630" s="6" t="s">
        <v>634</v>
      </c>
      <c r="B630" s="1">
        <v>3000</v>
      </c>
    </row>
    <row r="631" spans="1:2">
      <c r="A631" s="6" t="s">
        <v>635</v>
      </c>
      <c r="B631" s="1">
        <v>7000</v>
      </c>
    </row>
    <row r="632" spans="1:2">
      <c r="A632" s="6" t="s">
        <v>636</v>
      </c>
      <c r="B632" s="1">
        <v>5000</v>
      </c>
    </row>
    <row r="633" spans="1:2">
      <c r="A633" s="6" t="s">
        <v>637</v>
      </c>
      <c r="B633" s="1">
        <v>3000</v>
      </c>
    </row>
    <row r="634" spans="1:2">
      <c r="A634" s="6" t="s">
        <v>638</v>
      </c>
      <c r="B634" s="1">
        <v>6000</v>
      </c>
    </row>
    <row r="635" spans="1:2">
      <c r="A635" s="6" t="s">
        <v>639</v>
      </c>
      <c r="B635" s="1">
        <v>5000</v>
      </c>
    </row>
    <row r="636" spans="1:2">
      <c r="A636" s="6" t="s">
        <v>640</v>
      </c>
      <c r="B636" s="1">
        <v>7500</v>
      </c>
    </row>
    <row r="637" spans="1:2">
      <c r="A637" s="6" t="s">
        <v>641</v>
      </c>
      <c r="B637" s="1">
        <v>10000</v>
      </c>
    </row>
    <row r="638" spans="1:2">
      <c r="A638" s="6" t="s">
        <v>642</v>
      </c>
      <c r="B638" s="1">
        <v>5000</v>
      </c>
    </row>
    <row r="639" spans="1:2">
      <c r="A639" s="6" t="s">
        <v>643</v>
      </c>
      <c r="B639" s="1">
        <v>2500</v>
      </c>
    </row>
    <row r="640" spans="1:2">
      <c r="A640" s="6" t="s">
        <v>644</v>
      </c>
      <c r="B640" s="1">
        <v>7500</v>
      </c>
    </row>
    <row r="641" spans="1:2">
      <c r="A641" s="6" t="s">
        <v>645</v>
      </c>
      <c r="B641" s="1">
        <v>5000</v>
      </c>
    </row>
    <row r="642" spans="1:2">
      <c r="A642" s="6" t="s">
        <v>646</v>
      </c>
      <c r="B642" s="1">
        <v>6000</v>
      </c>
    </row>
    <row r="643" spans="1:2">
      <c r="A643" s="6" t="s">
        <v>647</v>
      </c>
      <c r="B643" s="1">
        <v>12000</v>
      </c>
    </row>
    <row r="644" spans="1:2">
      <c r="A644" s="6" t="s">
        <v>648</v>
      </c>
      <c r="B644" s="1">
        <v>3000</v>
      </c>
    </row>
    <row r="645" spans="1:2">
      <c r="A645" s="6" t="s">
        <v>649</v>
      </c>
      <c r="B645" s="1">
        <v>8000</v>
      </c>
    </row>
    <row r="646" spans="1:2">
      <c r="A646" s="6" t="s">
        <v>650</v>
      </c>
      <c r="B646" s="1">
        <v>5000</v>
      </c>
    </row>
    <row r="647" spans="1:2">
      <c r="A647" s="6" t="s">
        <v>651</v>
      </c>
      <c r="B647" s="1">
        <v>15000</v>
      </c>
    </row>
    <row r="648" spans="1:2">
      <c r="A648" s="6" t="s">
        <v>652</v>
      </c>
      <c r="B648" s="1">
        <v>2500</v>
      </c>
    </row>
    <row r="649" spans="1:2">
      <c r="A649" s="6" t="s">
        <v>653</v>
      </c>
      <c r="B649" s="1">
        <v>16000</v>
      </c>
    </row>
    <row r="650" spans="1:2">
      <c r="A650" s="6" t="s">
        <v>654</v>
      </c>
      <c r="B650" s="1">
        <v>6000</v>
      </c>
    </row>
    <row r="651" spans="1:2">
      <c r="A651" s="6" t="s">
        <v>655</v>
      </c>
      <c r="B651" s="1">
        <v>7500</v>
      </c>
    </row>
    <row r="652" spans="1:2">
      <c r="A652" s="6" t="s">
        <v>656</v>
      </c>
      <c r="B652" s="1">
        <v>6000</v>
      </c>
    </row>
    <row r="653" spans="1:2">
      <c r="A653" s="6" t="s">
        <v>657</v>
      </c>
      <c r="B653" s="1">
        <v>3000</v>
      </c>
    </row>
    <row r="654" spans="1:2">
      <c r="A654" s="6" t="s">
        <v>658</v>
      </c>
      <c r="B654" s="1">
        <v>3000</v>
      </c>
    </row>
    <row r="655" spans="1:2">
      <c r="A655" s="6" t="s">
        <v>659</v>
      </c>
      <c r="B655" s="1">
        <v>3000</v>
      </c>
    </row>
    <row r="656" spans="1:2">
      <c r="A656" s="6" t="s">
        <v>660</v>
      </c>
      <c r="B656" s="1">
        <v>3000</v>
      </c>
    </row>
    <row r="657" spans="1:2">
      <c r="A657" s="6" t="s">
        <v>661</v>
      </c>
      <c r="B657" s="1">
        <v>2500</v>
      </c>
    </row>
    <row r="658" spans="1:2">
      <c r="A658" s="6" t="s">
        <v>662</v>
      </c>
      <c r="B658" s="1">
        <v>5000</v>
      </c>
    </row>
    <row r="659" spans="1:2">
      <c r="A659" s="6" t="s">
        <v>663</v>
      </c>
      <c r="B659" s="1">
        <v>5000</v>
      </c>
    </row>
    <row r="660" spans="1:2">
      <c r="A660" s="6" t="s">
        <v>664</v>
      </c>
      <c r="B660" s="1">
        <v>4000</v>
      </c>
    </row>
    <row r="661" spans="1:2">
      <c r="A661" s="6" t="s">
        <v>665</v>
      </c>
      <c r="B661" s="1">
        <v>3000</v>
      </c>
    </row>
    <row r="662" spans="1:2">
      <c r="A662" s="6" t="s">
        <v>666</v>
      </c>
      <c r="B662" s="1">
        <v>2500</v>
      </c>
    </row>
    <row r="663" spans="1:2">
      <c r="A663" s="6" t="s">
        <v>667</v>
      </c>
      <c r="B663" s="1">
        <v>7500</v>
      </c>
    </row>
    <row r="664" spans="1:2">
      <c r="A664" s="6" t="s">
        <v>668</v>
      </c>
      <c r="B664" s="1">
        <v>6000</v>
      </c>
    </row>
    <row r="665" spans="1:2">
      <c r="A665" s="6" t="s">
        <v>669</v>
      </c>
      <c r="B665" s="1">
        <v>8000</v>
      </c>
    </row>
    <row r="666" spans="1:2">
      <c r="A666" s="6" t="s">
        <v>670</v>
      </c>
      <c r="B666" s="1">
        <v>10000</v>
      </c>
    </row>
    <row r="667" spans="1:2">
      <c r="A667" s="6" t="s">
        <v>671</v>
      </c>
      <c r="B667" s="1">
        <v>10000</v>
      </c>
    </row>
    <row r="668" spans="1:2">
      <c r="A668" s="6" t="s">
        <v>672</v>
      </c>
      <c r="B668" s="1">
        <v>7500</v>
      </c>
    </row>
    <row r="669" spans="1:2">
      <c r="A669" s="6" t="s">
        <v>673</v>
      </c>
      <c r="B669" s="1">
        <v>14000</v>
      </c>
    </row>
    <row r="670" spans="1:2">
      <c r="A670" s="6" t="s">
        <v>674</v>
      </c>
      <c r="B670" s="1">
        <v>6000</v>
      </c>
    </row>
    <row r="671" spans="1:2">
      <c r="A671" s="6" t="s">
        <v>675</v>
      </c>
      <c r="B671" s="1">
        <v>5000</v>
      </c>
    </row>
    <row r="672" spans="1:2">
      <c r="A672" s="6" t="s">
        <v>676</v>
      </c>
      <c r="B672" s="1">
        <v>6000</v>
      </c>
    </row>
    <row r="673" spans="1:2">
      <c r="A673" s="6" t="s">
        <v>677</v>
      </c>
      <c r="B673" s="1">
        <v>4000</v>
      </c>
    </row>
    <row r="674" spans="1:2">
      <c r="A674" s="6" t="s">
        <v>678</v>
      </c>
      <c r="B674" s="1">
        <v>5000</v>
      </c>
    </row>
    <row r="675" spans="1:2">
      <c r="A675" s="6" t="s">
        <v>679</v>
      </c>
      <c r="B675" s="1">
        <v>7500</v>
      </c>
    </row>
    <row r="676" spans="1:2">
      <c r="A676" s="6" t="s">
        <v>680</v>
      </c>
      <c r="B676" s="1">
        <v>2500</v>
      </c>
    </row>
    <row r="677" spans="1:2">
      <c r="A677" s="6" t="s">
        <v>681</v>
      </c>
      <c r="B677" s="1">
        <v>8000</v>
      </c>
    </row>
    <row r="678" spans="1:2">
      <c r="A678" s="6" t="s">
        <v>682</v>
      </c>
      <c r="B678" s="1">
        <v>2500</v>
      </c>
    </row>
    <row r="679" spans="1:2">
      <c r="A679" s="6" t="s">
        <v>683</v>
      </c>
      <c r="B679" s="1">
        <v>12000</v>
      </c>
    </row>
    <row r="680" spans="1:2">
      <c r="A680" s="6" t="s">
        <v>684</v>
      </c>
      <c r="B680" s="1">
        <v>6000</v>
      </c>
    </row>
    <row r="681" spans="1:2">
      <c r="A681" s="6" t="s">
        <v>685</v>
      </c>
      <c r="B681" s="1">
        <v>5000</v>
      </c>
    </row>
    <row r="682" spans="1:2">
      <c r="A682" s="6" t="s">
        <v>686</v>
      </c>
      <c r="B682" s="1">
        <v>5000</v>
      </c>
    </row>
    <row r="683" spans="1:2">
      <c r="A683" s="6" t="s">
        <v>687</v>
      </c>
      <c r="B683" s="1">
        <v>5000</v>
      </c>
    </row>
    <row r="684" spans="1:2">
      <c r="A684" s="6" t="s">
        <v>688</v>
      </c>
      <c r="B684" s="1">
        <v>10000</v>
      </c>
    </row>
    <row r="685" spans="1:2">
      <c r="A685" s="6" t="s">
        <v>689</v>
      </c>
      <c r="B685" s="1">
        <v>3000</v>
      </c>
    </row>
    <row r="686" spans="1:2">
      <c r="A686" s="6" t="s">
        <v>690</v>
      </c>
      <c r="B686" s="1">
        <v>5000</v>
      </c>
    </row>
    <row r="687" spans="1:2">
      <c r="A687" s="6" t="s">
        <v>691</v>
      </c>
      <c r="B687" s="1">
        <v>3000</v>
      </c>
    </row>
    <row r="688" spans="1:2">
      <c r="A688" s="6" t="s">
        <v>692</v>
      </c>
      <c r="B688" s="1">
        <v>10000</v>
      </c>
    </row>
    <row r="689" spans="1:2">
      <c r="A689" s="6" t="s">
        <v>693</v>
      </c>
      <c r="B689" s="1">
        <v>8000</v>
      </c>
    </row>
    <row r="690" spans="1:2">
      <c r="A690" s="6" t="s">
        <v>694</v>
      </c>
      <c r="B690" s="1">
        <v>3000</v>
      </c>
    </row>
    <row r="691" spans="1:2">
      <c r="A691" s="6" t="s">
        <v>695</v>
      </c>
      <c r="B691" s="1">
        <v>6000</v>
      </c>
    </row>
    <row r="692" spans="1:2">
      <c r="A692" s="6" t="s">
        <v>696</v>
      </c>
      <c r="B692" s="1">
        <v>7500</v>
      </c>
    </row>
    <row r="693" spans="1:2">
      <c r="A693" s="6" t="s">
        <v>697</v>
      </c>
      <c r="B693" s="1">
        <v>5000</v>
      </c>
    </row>
    <row r="694" spans="1:2">
      <c r="A694" s="6" t="s">
        <v>698</v>
      </c>
      <c r="B694" s="1">
        <v>5000</v>
      </c>
    </row>
    <row r="695" spans="1:2">
      <c r="A695" s="6" t="s">
        <v>699</v>
      </c>
      <c r="B695" s="1">
        <v>4000</v>
      </c>
    </row>
    <row r="696" spans="1:2">
      <c r="A696" s="6" t="s">
        <v>700</v>
      </c>
      <c r="B696" s="1">
        <v>2500</v>
      </c>
    </row>
    <row r="697" spans="1:2">
      <c r="A697" s="6" t="s">
        <v>701</v>
      </c>
      <c r="B697" s="1">
        <v>2500</v>
      </c>
    </row>
    <row r="698" spans="1:2">
      <c r="A698" s="6" t="s">
        <v>702</v>
      </c>
      <c r="B698" s="1">
        <v>2500</v>
      </c>
    </row>
    <row r="699" spans="1:2">
      <c r="A699" s="6" t="s">
        <v>703</v>
      </c>
      <c r="B699" s="1">
        <v>5000</v>
      </c>
    </row>
    <row r="700" spans="1:2">
      <c r="A700" s="6" t="s">
        <v>704</v>
      </c>
      <c r="B700" s="1">
        <v>6000</v>
      </c>
    </row>
    <row r="701" spans="1:2">
      <c r="A701" s="6" t="s">
        <v>705</v>
      </c>
      <c r="B701" s="1">
        <v>7500</v>
      </c>
    </row>
    <row r="702" spans="1:2">
      <c r="A702" s="6" t="s">
        <v>706</v>
      </c>
      <c r="B702" s="1">
        <v>2500</v>
      </c>
    </row>
    <row r="703" spans="1:2">
      <c r="A703" s="6" t="s">
        <v>707</v>
      </c>
      <c r="B703" s="1">
        <v>5000</v>
      </c>
    </row>
    <row r="704" spans="1:2">
      <c r="A704" s="6" t="s">
        <v>708</v>
      </c>
      <c r="B704" s="1">
        <v>6000</v>
      </c>
    </row>
    <row r="705" spans="1:2">
      <c r="A705" s="6" t="s">
        <v>709</v>
      </c>
      <c r="B705" s="1">
        <v>2500</v>
      </c>
    </row>
    <row r="706" spans="1:2">
      <c r="A706" s="6" t="s">
        <v>710</v>
      </c>
      <c r="B706" s="1">
        <v>10000</v>
      </c>
    </row>
    <row r="707" spans="1:2">
      <c r="A707" s="6" t="s">
        <v>711</v>
      </c>
      <c r="B707" s="1">
        <v>3000</v>
      </c>
    </row>
    <row r="708" spans="1:2">
      <c r="A708" s="6" t="s">
        <v>712</v>
      </c>
      <c r="B708" s="1">
        <v>7500</v>
      </c>
    </row>
    <row r="709" spans="1:2">
      <c r="A709" s="6" t="s">
        <v>713</v>
      </c>
      <c r="B709" s="1">
        <v>2500</v>
      </c>
    </row>
    <row r="710" spans="1:2">
      <c r="A710" s="6" t="s">
        <v>714</v>
      </c>
      <c r="B710" s="1">
        <v>3000</v>
      </c>
    </row>
    <row r="711" spans="1:2">
      <c r="A711" s="6" t="s">
        <v>715</v>
      </c>
      <c r="B711" s="1">
        <v>14000</v>
      </c>
    </row>
    <row r="712" spans="1:2">
      <c r="A712" s="6" t="s">
        <v>716</v>
      </c>
      <c r="B712" s="1">
        <v>3000</v>
      </c>
    </row>
    <row r="713" spans="1:2">
      <c r="A713" s="6" t="s">
        <v>717</v>
      </c>
      <c r="B713" s="1">
        <v>6000</v>
      </c>
    </row>
    <row r="714" spans="1:2">
      <c r="A714" s="6" t="s">
        <v>718</v>
      </c>
      <c r="B714" s="1">
        <v>5000</v>
      </c>
    </row>
    <row r="715" spans="1:2">
      <c r="A715" s="6" t="s">
        <v>719</v>
      </c>
      <c r="B715" s="1">
        <v>6000</v>
      </c>
    </row>
    <row r="716" spans="1:2">
      <c r="A716" s="6" t="s">
        <v>720</v>
      </c>
      <c r="B716" s="1">
        <v>7000</v>
      </c>
    </row>
    <row r="717" spans="1:2">
      <c r="A717" s="6" t="s">
        <v>721</v>
      </c>
      <c r="B717" s="1">
        <v>3000</v>
      </c>
    </row>
    <row r="718" spans="1:2">
      <c r="A718" s="6" t="s">
        <v>722</v>
      </c>
      <c r="B718" s="1">
        <v>7500</v>
      </c>
    </row>
    <row r="719" spans="1:2">
      <c r="A719" s="6" t="s">
        <v>723</v>
      </c>
      <c r="B719" s="1">
        <v>15000</v>
      </c>
    </row>
    <row r="720" spans="1:2">
      <c r="A720" s="6" t="s">
        <v>724</v>
      </c>
      <c r="B720" s="1">
        <v>5000</v>
      </c>
    </row>
    <row r="721" spans="1:2">
      <c r="A721" s="6" t="s">
        <v>725</v>
      </c>
      <c r="B721" s="1">
        <v>3000</v>
      </c>
    </row>
    <row r="722" spans="1:2">
      <c r="A722" s="6" t="s">
        <v>726</v>
      </c>
      <c r="B722" s="1">
        <v>2500</v>
      </c>
    </row>
    <row r="723" spans="1:2">
      <c r="A723" s="6" t="s">
        <v>727</v>
      </c>
      <c r="B723" s="1">
        <v>8000</v>
      </c>
    </row>
    <row r="724" spans="1:2">
      <c r="A724" s="6" t="s">
        <v>728</v>
      </c>
      <c r="B724" s="1">
        <v>7000</v>
      </c>
    </row>
    <row r="725" spans="1:2">
      <c r="A725" s="6" t="s">
        <v>729</v>
      </c>
      <c r="B725" s="1">
        <v>7500</v>
      </c>
    </row>
    <row r="726" spans="1:2">
      <c r="A726" s="6" t="s">
        <v>730</v>
      </c>
      <c r="B726" s="1">
        <v>6000</v>
      </c>
    </row>
    <row r="727" spans="1:2">
      <c r="A727" s="6" t="s">
        <v>731</v>
      </c>
      <c r="B727" s="1">
        <v>6000</v>
      </c>
    </row>
    <row r="728" spans="1:2">
      <c r="A728" s="6" t="s">
        <v>732</v>
      </c>
      <c r="B728" s="1">
        <v>2500</v>
      </c>
    </row>
    <row r="729" spans="1:2">
      <c r="A729" s="6" t="s">
        <v>733</v>
      </c>
      <c r="B729" s="1">
        <v>6000</v>
      </c>
    </row>
    <row r="730" spans="1:2">
      <c r="A730" s="6" t="s">
        <v>734</v>
      </c>
      <c r="B730" s="1">
        <v>6000</v>
      </c>
    </row>
    <row r="731" spans="1:2">
      <c r="A731" s="6" t="s">
        <v>735</v>
      </c>
      <c r="B731" s="1">
        <v>2500</v>
      </c>
    </row>
    <row r="732" spans="1:2">
      <c r="A732" s="6" t="s">
        <v>736</v>
      </c>
      <c r="B732" s="1">
        <v>8000</v>
      </c>
    </row>
    <row r="733" spans="1:2">
      <c r="A733" s="6" t="s">
        <v>737</v>
      </c>
      <c r="B733" s="1">
        <v>4000</v>
      </c>
    </row>
    <row r="734" spans="1:2">
      <c r="A734" s="6" t="s">
        <v>738</v>
      </c>
      <c r="B734" s="1">
        <v>3000</v>
      </c>
    </row>
    <row r="735" spans="1:2">
      <c r="A735" s="6" t="s">
        <v>739</v>
      </c>
      <c r="B735" s="1">
        <v>4000</v>
      </c>
    </row>
    <row r="736" spans="1:2">
      <c r="A736" s="6" t="s">
        <v>740</v>
      </c>
      <c r="B736" s="1">
        <v>10000</v>
      </c>
    </row>
    <row r="737" spans="1:2">
      <c r="A737" s="6" t="s">
        <v>741</v>
      </c>
      <c r="B737" s="1">
        <v>3000</v>
      </c>
    </row>
    <row r="738" spans="1:2">
      <c r="A738" s="6" t="s">
        <v>742</v>
      </c>
      <c r="B738" s="1">
        <v>7500</v>
      </c>
    </row>
    <row r="739" spans="1:2">
      <c r="A739" s="6" t="s">
        <v>743</v>
      </c>
      <c r="B739" s="1">
        <v>2500</v>
      </c>
    </row>
    <row r="740" spans="1:2">
      <c r="A740" s="6" t="s">
        <v>744</v>
      </c>
      <c r="B740" s="1">
        <v>5000</v>
      </c>
    </row>
    <row r="741" spans="1:2">
      <c r="A741" s="6" t="s">
        <v>745</v>
      </c>
      <c r="B741" s="1">
        <v>6000</v>
      </c>
    </row>
    <row r="742" spans="1:2">
      <c r="A742" s="6" t="s">
        <v>746</v>
      </c>
      <c r="B742" s="1">
        <v>2500</v>
      </c>
    </row>
    <row r="743" spans="1:2">
      <c r="A743" s="6" t="s">
        <v>747</v>
      </c>
      <c r="B743" s="1">
        <v>3000</v>
      </c>
    </row>
    <row r="744" spans="1:2">
      <c r="A744" s="6" t="s">
        <v>748</v>
      </c>
      <c r="B744" s="1">
        <v>5000</v>
      </c>
    </row>
    <row r="745" spans="1:2">
      <c r="A745" s="6" t="s">
        <v>749</v>
      </c>
      <c r="B745" s="1">
        <v>3000</v>
      </c>
    </row>
    <row r="746" spans="1:2">
      <c r="A746" s="6" t="s">
        <v>750</v>
      </c>
      <c r="B746" s="1">
        <v>2500</v>
      </c>
    </row>
    <row r="747" spans="1:2">
      <c r="A747" s="6" t="s">
        <v>751</v>
      </c>
      <c r="B747" s="1">
        <v>3000</v>
      </c>
    </row>
    <row r="748" spans="1:2">
      <c r="A748" s="6" t="s">
        <v>752</v>
      </c>
      <c r="B748" s="1">
        <v>6000</v>
      </c>
    </row>
    <row r="749" spans="1:2">
      <c r="A749" s="6" t="s">
        <v>753</v>
      </c>
      <c r="B749" s="1">
        <v>5000</v>
      </c>
    </row>
    <row r="750" spans="1:2">
      <c r="A750" s="6" t="s">
        <v>754</v>
      </c>
      <c r="B750" s="1">
        <v>7000</v>
      </c>
    </row>
    <row r="751" spans="1:2">
      <c r="A751" s="6" t="s">
        <v>755</v>
      </c>
      <c r="B751" s="1">
        <v>12000</v>
      </c>
    </row>
    <row r="752" spans="1:2">
      <c r="A752" s="6" t="s">
        <v>756</v>
      </c>
      <c r="B752" s="1">
        <v>4000</v>
      </c>
    </row>
    <row r="753" spans="1:2">
      <c r="A753" s="6" t="s">
        <v>757</v>
      </c>
      <c r="B753" s="1">
        <v>7000</v>
      </c>
    </row>
    <row r="754" spans="1:2">
      <c r="A754" s="6" t="s">
        <v>758</v>
      </c>
      <c r="B754" s="1">
        <v>8000</v>
      </c>
    </row>
    <row r="755" spans="1:2">
      <c r="A755" s="6" t="s">
        <v>759</v>
      </c>
      <c r="B755" s="1">
        <v>4000</v>
      </c>
    </row>
    <row r="756" spans="1:2">
      <c r="A756" s="6" t="s">
        <v>760</v>
      </c>
      <c r="B756" s="1">
        <v>10000</v>
      </c>
    </row>
    <row r="757" spans="1:2">
      <c r="A757" s="6" t="s">
        <v>761</v>
      </c>
      <c r="B757" s="1">
        <v>5000</v>
      </c>
    </row>
    <row r="758" spans="1:2">
      <c r="A758" s="6" t="s">
        <v>762</v>
      </c>
      <c r="B758" s="1">
        <v>15000</v>
      </c>
    </row>
    <row r="759" spans="1:2">
      <c r="A759" s="6" t="s">
        <v>763</v>
      </c>
      <c r="B759" s="1">
        <v>5000</v>
      </c>
    </row>
    <row r="760" spans="1:2">
      <c r="A760" s="6" t="s">
        <v>764</v>
      </c>
      <c r="B760" s="1">
        <v>8000</v>
      </c>
    </row>
    <row r="761" spans="1:2">
      <c r="A761" s="6" t="s">
        <v>765</v>
      </c>
      <c r="B761" s="1">
        <v>3000</v>
      </c>
    </row>
    <row r="762" spans="1:2">
      <c r="A762" s="6" t="s">
        <v>766</v>
      </c>
      <c r="B762" s="1">
        <v>5000</v>
      </c>
    </row>
    <row r="763" spans="1:2">
      <c r="A763" s="6" t="s">
        <v>767</v>
      </c>
      <c r="B763" s="1">
        <v>4000</v>
      </c>
    </row>
    <row r="764" spans="1:2">
      <c r="A764" s="6" t="s">
        <v>768</v>
      </c>
      <c r="B764" s="1">
        <v>14000</v>
      </c>
    </row>
    <row r="765" spans="1:2">
      <c r="A765" s="6" t="s">
        <v>769</v>
      </c>
      <c r="B765" s="1">
        <v>14000</v>
      </c>
    </row>
    <row r="766" spans="1:2">
      <c r="A766" s="6" t="s">
        <v>770</v>
      </c>
      <c r="B766" s="1">
        <v>6000</v>
      </c>
    </row>
    <row r="767" spans="1:2">
      <c r="A767" s="6" t="s">
        <v>771</v>
      </c>
      <c r="B767" s="1">
        <v>8000</v>
      </c>
    </row>
    <row r="768" spans="1:2">
      <c r="A768" s="6" t="s">
        <v>772</v>
      </c>
      <c r="B768" s="1">
        <v>3000</v>
      </c>
    </row>
    <row r="769" spans="1:2">
      <c r="A769" s="6" t="s">
        <v>773</v>
      </c>
      <c r="B769" s="1">
        <v>3000</v>
      </c>
    </row>
    <row r="770" spans="1:2">
      <c r="A770" s="6" t="s">
        <v>774</v>
      </c>
      <c r="B770" s="1">
        <v>3000</v>
      </c>
    </row>
    <row r="771" spans="1:2">
      <c r="A771" s="6" t="s">
        <v>775</v>
      </c>
      <c r="B771" s="1">
        <v>5000</v>
      </c>
    </row>
    <row r="772" spans="1:2">
      <c r="A772" s="6" t="s">
        <v>776</v>
      </c>
      <c r="B772" s="1">
        <v>6000</v>
      </c>
    </row>
    <row r="773" spans="1:2">
      <c r="A773" s="6" t="s">
        <v>777</v>
      </c>
      <c r="B773" s="1">
        <v>15000</v>
      </c>
    </row>
    <row r="774" spans="1:2">
      <c r="A774" s="6" t="s">
        <v>778</v>
      </c>
      <c r="B774" s="1">
        <v>5000</v>
      </c>
    </row>
    <row r="775" spans="1:2">
      <c r="A775" s="6" t="s">
        <v>779</v>
      </c>
      <c r="B775" s="1">
        <v>5000</v>
      </c>
    </row>
    <row r="776" spans="1:2">
      <c r="A776" s="6" t="s">
        <v>780</v>
      </c>
      <c r="B776" s="1">
        <v>5000</v>
      </c>
    </row>
    <row r="777" spans="1:2">
      <c r="A777" s="6" t="s">
        <v>781</v>
      </c>
      <c r="B777" s="1">
        <v>3000</v>
      </c>
    </row>
    <row r="778" spans="1:2">
      <c r="A778" s="6" t="s">
        <v>782</v>
      </c>
      <c r="B778" s="1">
        <v>3000</v>
      </c>
    </row>
    <row r="779" spans="1:2">
      <c r="A779" s="6" t="s">
        <v>783</v>
      </c>
      <c r="B779" s="1">
        <v>5000</v>
      </c>
    </row>
    <row r="780" spans="1:2">
      <c r="A780" s="6" t="s">
        <v>784</v>
      </c>
      <c r="B780" s="1">
        <v>3000</v>
      </c>
    </row>
    <row r="781" spans="1:2">
      <c r="A781" s="6" t="s">
        <v>785</v>
      </c>
      <c r="B781" s="1">
        <v>2500</v>
      </c>
    </row>
    <row r="782" spans="1:2">
      <c r="A782" s="6" t="s">
        <v>786</v>
      </c>
      <c r="B782" s="1">
        <v>6000</v>
      </c>
    </row>
    <row r="783" spans="1:2">
      <c r="A783" s="6" t="s">
        <v>787</v>
      </c>
      <c r="B783" s="1">
        <v>3000</v>
      </c>
    </row>
    <row r="784" spans="1:2">
      <c r="A784" s="6" t="s">
        <v>788</v>
      </c>
      <c r="B784" s="1">
        <v>6000</v>
      </c>
    </row>
    <row r="785" spans="1:2">
      <c r="A785" s="6" t="s">
        <v>789</v>
      </c>
      <c r="B785" s="1">
        <v>4000</v>
      </c>
    </row>
    <row r="786" spans="1:2">
      <c r="A786" s="6" t="s">
        <v>790</v>
      </c>
      <c r="B786" s="1">
        <v>6000</v>
      </c>
    </row>
    <row r="787" spans="1:2">
      <c r="A787" s="6" t="s">
        <v>791</v>
      </c>
      <c r="B787" s="1">
        <v>5000</v>
      </c>
    </row>
    <row r="788" spans="1:2">
      <c r="A788" s="6" t="s">
        <v>792</v>
      </c>
      <c r="B788" s="1">
        <v>5000</v>
      </c>
    </row>
    <row r="789" spans="1:2">
      <c r="A789" s="6" t="s">
        <v>793</v>
      </c>
      <c r="B789" s="1">
        <v>2500</v>
      </c>
    </row>
    <row r="790" spans="1:2">
      <c r="A790" s="6" t="s">
        <v>794</v>
      </c>
      <c r="B790" s="1">
        <v>7500</v>
      </c>
    </row>
    <row r="791" spans="1:2">
      <c r="A791" s="6" t="s">
        <v>795</v>
      </c>
      <c r="B791" s="1">
        <v>7000</v>
      </c>
    </row>
    <row r="792" spans="1:2">
      <c r="A792" s="6" t="s">
        <v>796</v>
      </c>
      <c r="B792" s="1">
        <v>2500</v>
      </c>
    </row>
    <row r="793" spans="1:2">
      <c r="A793" s="6" t="s">
        <v>797</v>
      </c>
      <c r="B793" s="1">
        <v>7500</v>
      </c>
    </row>
    <row r="794" spans="1:2">
      <c r="A794" s="6" t="s">
        <v>798</v>
      </c>
      <c r="B794" s="1">
        <v>5000</v>
      </c>
    </row>
    <row r="795" spans="1:2">
      <c r="A795" s="6" t="s">
        <v>799</v>
      </c>
      <c r="B795" s="1">
        <v>4000</v>
      </c>
    </row>
    <row r="796" spans="1:2">
      <c r="A796" s="6" t="s">
        <v>800</v>
      </c>
      <c r="B796" s="1">
        <v>3000</v>
      </c>
    </row>
    <row r="797" spans="1:2">
      <c r="A797" s="6" t="s">
        <v>801</v>
      </c>
      <c r="B797" s="1">
        <v>2500</v>
      </c>
    </row>
    <row r="798" spans="1:2">
      <c r="A798" s="6" t="s">
        <v>802</v>
      </c>
      <c r="B798" s="1">
        <v>14000</v>
      </c>
    </row>
    <row r="799" spans="1:2">
      <c r="A799" s="6" t="s">
        <v>803</v>
      </c>
      <c r="B799" s="1">
        <v>7000</v>
      </c>
    </row>
    <row r="800" spans="1:2">
      <c r="A800" s="6" t="s">
        <v>804</v>
      </c>
      <c r="B800" s="1">
        <v>2500</v>
      </c>
    </row>
    <row r="801" spans="1:2">
      <c r="A801" s="6" t="s">
        <v>805</v>
      </c>
      <c r="B801" s="1">
        <v>4000</v>
      </c>
    </row>
    <row r="802" spans="1:2">
      <c r="A802" s="6" t="s">
        <v>806</v>
      </c>
      <c r="B802" s="1">
        <v>7000</v>
      </c>
    </row>
    <row r="803" spans="1:2">
      <c r="A803" s="6" t="s">
        <v>807</v>
      </c>
      <c r="B803" s="1">
        <v>15000</v>
      </c>
    </row>
    <row r="804" spans="1:2">
      <c r="A804" s="6" t="s">
        <v>808</v>
      </c>
      <c r="B804" s="1">
        <v>6000</v>
      </c>
    </row>
    <row r="805" spans="1:2">
      <c r="A805" s="6" t="s">
        <v>809</v>
      </c>
      <c r="B805" s="1">
        <v>5000</v>
      </c>
    </row>
    <row r="806" spans="1:2">
      <c r="A806" s="6" t="s">
        <v>810</v>
      </c>
      <c r="B806" s="1">
        <v>6000</v>
      </c>
    </row>
    <row r="807" spans="1:2">
      <c r="A807" s="6" t="s">
        <v>811</v>
      </c>
      <c r="B807" s="1">
        <v>6000</v>
      </c>
    </row>
    <row r="808" spans="1:2">
      <c r="A808" s="6" t="s">
        <v>812</v>
      </c>
      <c r="B808" s="1">
        <v>3000</v>
      </c>
    </row>
    <row r="809" spans="1:2">
      <c r="A809" s="6" t="s">
        <v>813</v>
      </c>
      <c r="B809" s="1">
        <v>7000</v>
      </c>
    </row>
    <row r="810" spans="1:2">
      <c r="A810" s="6" t="s">
        <v>814</v>
      </c>
      <c r="B810" s="1">
        <v>3000</v>
      </c>
    </row>
    <row r="811" spans="1:2">
      <c r="A811" s="6" t="s">
        <v>815</v>
      </c>
      <c r="B811" s="1">
        <v>5000</v>
      </c>
    </row>
    <row r="812" spans="1:2">
      <c r="A812" s="6" t="s">
        <v>816</v>
      </c>
      <c r="B812" s="1">
        <v>3000</v>
      </c>
    </row>
    <row r="813" spans="1:2">
      <c r="A813" s="6" t="s">
        <v>817</v>
      </c>
      <c r="B813" s="1">
        <v>3000</v>
      </c>
    </row>
    <row r="814" spans="1:2">
      <c r="A814" s="6" t="s">
        <v>818</v>
      </c>
      <c r="B814" s="1">
        <v>6000</v>
      </c>
    </row>
    <row r="815" spans="1:2">
      <c r="A815" s="6" t="s">
        <v>819</v>
      </c>
      <c r="B815" s="1">
        <v>2500</v>
      </c>
    </row>
    <row r="816" spans="1:2">
      <c r="A816" s="6" t="s">
        <v>820</v>
      </c>
      <c r="B816" s="1">
        <v>5000</v>
      </c>
    </row>
    <row r="817" spans="1:2">
      <c r="A817" s="6" t="s">
        <v>821</v>
      </c>
      <c r="B817" s="1">
        <v>6000</v>
      </c>
    </row>
    <row r="818" spans="1:2">
      <c r="A818" s="6" t="s">
        <v>822</v>
      </c>
      <c r="B818" s="1">
        <v>5000</v>
      </c>
    </row>
    <row r="819" spans="1:2">
      <c r="A819" s="6" t="s">
        <v>823</v>
      </c>
      <c r="B819" s="1">
        <v>7500</v>
      </c>
    </row>
    <row r="820" spans="1:2">
      <c r="A820" s="6" t="s">
        <v>824</v>
      </c>
      <c r="B820" s="1">
        <v>3000</v>
      </c>
    </row>
    <row r="821" spans="1:2">
      <c r="A821" s="6" t="s">
        <v>825</v>
      </c>
      <c r="B821" s="1">
        <v>8000</v>
      </c>
    </row>
    <row r="822" spans="1:2">
      <c r="A822" s="6" t="s">
        <v>826</v>
      </c>
      <c r="B822" s="1">
        <v>3000</v>
      </c>
    </row>
    <row r="823" spans="1:2">
      <c r="A823" s="6" t="s">
        <v>827</v>
      </c>
      <c r="B823" s="1">
        <v>5000</v>
      </c>
    </row>
    <row r="824" spans="1:2">
      <c r="A824" s="6" t="s">
        <v>828</v>
      </c>
      <c r="B824" s="1">
        <v>2500</v>
      </c>
    </row>
    <row r="825" spans="1:2">
      <c r="A825" s="6" t="s">
        <v>829</v>
      </c>
      <c r="B825" s="1">
        <v>2500</v>
      </c>
    </row>
    <row r="826" spans="1:2">
      <c r="A826" s="6" t="s">
        <v>830</v>
      </c>
      <c r="B826" s="1">
        <v>3000</v>
      </c>
    </row>
    <row r="827" spans="1:2">
      <c r="A827" s="6" t="s">
        <v>831</v>
      </c>
      <c r="B827" s="1">
        <v>2500</v>
      </c>
    </row>
    <row r="828" spans="1:2">
      <c r="A828" s="6" t="s">
        <v>832</v>
      </c>
      <c r="B828" s="1">
        <v>3000</v>
      </c>
    </row>
    <row r="829" spans="1:2">
      <c r="A829" s="6" t="s">
        <v>833</v>
      </c>
      <c r="B829" s="1">
        <v>4000</v>
      </c>
    </row>
    <row r="830" spans="1:2">
      <c r="A830" s="6" t="s">
        <v>834</v>
      </c>
      <c r="B830" s="1">
        <v>2500</v>
      </c>
    </row>
    <row r="831" spans="1:2">
      <c r="A831" s="6" t="s">
        <v>835</v>
      </c>
      <c r="B831" s="1">
        <v>10000</v>
      </c>
    </row>
    <row r="832" spans="1:2">
      <c r="A832" s="6" t="s">
        <v>836</v>
      </c>
      <c r="B832" s="1">
        <v>5000</v>
      </c>
    </row>
    <row r="833" spans="1:2">
      <c r="A833" s="6" t="s">
        <v>837</v>
      </c>
      <c r="B833" s="1">
        <v>6000</v>
      </c>
    </row>
    <row r="834" spans="1:2">
      <c r="A834" s="6" t="s">
        <v>838</v>
      </c>
      <c r="B834" s="1">
        <v>5000</v>
      </c>
    </row>
    <row r="835" spans="1:2">
      <c r="A835" s="6" t="s">
        <v>839</v>
      </c>
      <c r="B835" s="1">
        <v>3000</v>
      </c>
    </row>
    <row r="836" spans="1:2">
      <c r="A836" s="6" t="s">
        <v>840</v>
      </c>
      <c r="B836" s="1">
        <v>5000</v>
      </c>
    </row>
    <row r="837" spans="1:2">
      <c r="A837" s="6" t="s">
        <v>841</v>
      </c>
      <c r="B837" s="1">
        <v>5000</v>
      </c>
    </row>
    <row r="838" spans="1:2">
      <c r="A838" s="6" t="s">
        <v>842</v>
      </c>
      <c r="B838" s="1">
        <v>7000</v>
      </c>
    </row>
    <row r="839" spans="1:2">
      <c r="A839" s="6" t="s">
        <v>843</v>
      </c>
      <c r="B839" s="1">
        <v>3000</v>
      </c>
    </row>
    <row r="840" spans="1:2">
      <c r="A840" s="6" t="s">
        <v>844</v>
      </c>
      <c r="B840" s="1">
        <v>6000</v>
      </c>
    </row>
    <row r="841" spans="1:2">
      <c r="A841" s="6" t="s">
        <v>845</v>
      </c>
      <c r="B841" s="1">
        <v>7500</v>
      </c>
    </row>
    <row r="842" spans="1:2">
      <c r="A842" s="6" t="s">
        <v>846</v>
      </c>
      <c r="B842" s="1">
        <v>3000</v>
      </c>
    </row>
    <row r="843" spans="1:2">
      <c r="A843" s="6" t="s">
        <v>847</v>
      </c>
      <c r="B843" s="1">
        <v>3000</v>
      </c>
    </row>
    <row r="844" spans="1:2">
      <c r="A844" s="6" t="s">
        <v>848</v>
      </c>
      <c r="B844" s="1">
        <v>5000</v>
      </c>
    </row>
    <row r="845" spans="1:2">
      <c r="A845" s="6" t="s">
        <v>849</v>
      </c>
      <c r="B845" s="1">
        <v>3000</v>
      </c>
    </row>
    <row r="846" spans="1:2">
      <c r="A846" s="6" t="s">
        <v>850</v>
      </c>
      <c r="B846" s="1">
        <v>5000</v>
      </c>
    </row>
    <row r="847" spans="1:2">
      <c r="A847" s="6" t="s">
        <v>851</v>
      </c>
      <c r="B847" s="1">
        <v>5000</v>
      </c>
    </row>
    <row r="848" spans="1:2">
      <c r="A848" s="6" t="s">
        <v>852</v>
      </c>
      <c r="B848" s="1">
        <v>8000</v>
      </c>
    </row>
    <row r="849" spans="1:2">
      <c r="A849" s="6" t="s">
        <v>853</v>
      </c>
      <c r="B849" s="1">
        <v>12000</v>
      </c>
    </row>
    <row r="850" spans="1:2">
      <c r="A850" s="6" t="s">
        <v>854</v>
      </c>
      <c r="B850" s="1">
        <v>4000</v>
      </c>
    </row>
    <row r="851" spans="1:2">
      <c r="A851" s="6" t="s">
        <v>855</v>
      </c>
      <c r="B851" s="1">
        <v>2500</v>
      </c>
    </row>
    <row r="852" spans="1:2">
      <c r="A852" s="6" t="s">
        <v>856</v>
      </c>
      <c r="B852" s="1">
        <v>2500</v>
      </c>
    </row>
    <row r="853" spans="1:2">
      <c r="A853" s="6" t="s">
        <v>857</v>
      </c>
      <c r="B853" s="1">
        <v>7500</v>
      </c>
    </row>
    <row r="854" spans="1:2">
      <c r="A854" s="6" t="s">
        <v>858</v>
      </c>
      <c r="B854" s="1">
        <v>3000</v>
      </c>
    </row>
    <row r="855" spans="1:2">
      <c r="A855" s="6" t="s">
        <v>859</v>
      </c>
      <c r="B855" s="1">
        <v>3000</v>
      </c>
    </row>
    <row r="856" spans="1:2">
      <c r="A856" s="6" t="s">
        <v>860</v>
      </c>
      <c r="B856" s="1">
        <v>5000</v>
      </c>
    </row>
    <row r="857" spans="1:2">
      <c r="A857" s="6" t="s">
        <v>861</v>
      </c>
      <c r="B857" s="1">
        <v>2500</v>
      </c>
    </row>
    <row r="858" spans="1:2">
      <c r="A858" s="6" t="s">
        <v>862</v>
      </c>
      <c r="B858" s="1">
        <v>2500</v>
      </c>
    </row>
    <row r="859" spans="1:2">
      <c r="A859" s="6" t="s">
        <v>863</v>
      </c>
      <c r="B859" s="1">
        <v>2500</v>
      </c>
    </row>
    <row r="860" spans="1:2">
      <c r="A860" s="6" t="s">
        <v>864</v>
      </c>
      <c r="B860" s="1">
        <v>8000</v>
      </c>
    </row>
    <row r="861" spans="1:2">
      <c r="A861" s="6" t="s">
        <v>865</v>
      </c>
      <c r="B861" s="1">
        <v>3000</v>
      </c>
    </row>
    <row r="862" spans="1:2">
      <c r="A862" s="6" t="s">
        <v>866</v>
      </c>
      <c r="B862" s="1">
        <v>2500</v>
      </c>
    </row>
    <row r="863" spans="1:2">
      <c r="A863" s="6" t="s">
        <v>867</v>
      </c>
      <c r="B863" s="1">
        <v>3000</v>
      </c>
    </row>
    <row r="864" spans="1:2">
      <c r="A864" s="6" t="s">
        <v>868</v>
      </c>
      <c r="B864" s="1">
        <v>7000</v>
      </c>
    </row>
    <row r="865" spans="1:2">
      <c r="A865" s="6" t="s">
        <v>869</v>
      </c>
      <c r="B865" s="1">
        <v>6000</v>
      </c>
    </row>
    <row r="866" spans="1:2">
      <c r="A866" s="6" t="s">
        <v>870</v>
      </c>
      <c r="B866" s="1">
        <v>8000</v>
      </c>
    </row>
    <row r="867" spans="1:2">
      <c r="A867" s="6" t="s">
        <v>871</v>
      </c>
      <c r="B867" s="1">
        <v>5000</v>
      </c>
    </row>
    <row r="868" spans="1:2">
      <c r="A868" s="6" t="s">
        <v>872</v>
      </c>
      <c r="B868" s="1">
        <v>8000</v>
      </c>
    </row>
    <row r="869" spans="1:2">
      <c r="A869" s="6" t="s">
        <v>873</v>
      </c>
      <c r="B869" s="1">
        <v>10000</v>
      </c>
    </row>
    <row r="870" spans="1:2">
      <c r="A870" s="6" t="s">
        <v>874</v>
      </c>
      <c r="B870" s="1">
        <v>3000</v>
      </c>
    </row>
    <row r="871" spans="1:2">
      <c r="A871" s="6" t="s">
        <v>875</v>
      </c>
      <c r="B871" s="1">
        <v>2500</v>
      </c>
    </row>
    <row r="872" spans="1:2">
      <c r="A872" s="6" t="s">
        <v>876</v>
      </c>
      <c r="B872" s="1">
        <v>2500</v>
      </c>
    </row>
    <row r="873" spans="1:2">
      <c r="A873" s="6" t="s">
        <v>877</v>
      </c>
      <c r="B873" s="1">
        <v>8000</v>
      </c>
    </row>
    <row r="874" spans="1:2">
      <c r="A874" s="6" t="s">
        <v>878</v>
      </c>
      <c r="B874" s="1">
        <v>4000</v>
      </c>
    </row>
    <row r="875" spans="1:2">
      <c r="A875" s="6" t="s">
        <v>879</v>
      </c>
      <c r="B875" s="1">
        <v>6000</v>
      </c>
    </row>
    <row r="876" spans="1:2">
      <c r="A876" s="6" t="s">
        <v>880</v>
      </c>
      <c r="B876" s="1">
        <v>8000</v>
      </c>
    </row>
    <row r="877" spans="1:2">
      <c r="A877" s="6" t="s">
        <v>881</v>
      </c>
      <c r="B877" s="1">
        <v>2500</v>
      </c>
    </row>
    <row r="878" spans="1:2">
      <c r="A878" s="6" t="s">
        <v>882</v>
      </c>
      <c r="B878" s="1">
        <v>10000</v>
      </c>
    </row>
    <row r="879" spans="1:2">
      <c r="A879" s="6" t="s">
        <v>883</v>
      </c>
      <c r="B879" s="1">
        <v>10000</v>
      </c>
    </row>
    <row r="880" spans="1:2">
      <c r="A880" s="6" t="s">
        <v>884</v>
      </c>
      <c r="B880" s="1">
        <v>7000</v>
      </c>
    </row>
    <row r="881" spans="1:2">
      <c r="A881" s="6" t="s">
        <v>885</v>
      </c>
      <c r="B881" s="1">
        <v>2500</v>
      </c>
    </row>
    <row r="882" spans="1:2">
      <c r="A882" s="6" t="s">
        <v>886</v>
      </c>
      <c r="B882" s="1">
        <v>2500</v>
      </c>
    </row>
    <row r="883" spans="1:2">
      <c r="A883" s="6" t="s">
        <v>887</v>
      </c>
      <c r="B883" s="1">
        <v>5000</v>
      </c>
    </row>
    <row r="884" spans="1:2">
      <c r="A884" s="6" t="s">
        <v>888</v>
      </c>
      <c r="B884" s="1">
        <v>3000</v>
      </c>
    </row>
    <row r="885" spans="1:2">
      <c r="A885" s="6" t="s">
        <v>889</v>
      </c>
      <c r="B885" s="1">
        <v>2500</v>
      </c>
    </row>
    <row r="886" spans="1:2">
      <c r="A886" s="6" t="s">
        <v>890</v>
      </c>
      <c r="B886" s="1">
        <v>6000</v>
      </c>
    </row>
    <row r="887" spans="1:2">
      <c r="A887" s="6" t="s">
        <v>891</v>
      </c>
      <c r="B887" s="1">
        <v>4000</v>
      </c>
    </row>
    <row r="888" spans="1:2">
      <c r="A888" s="6" t="s">
        <v>892</v>
      </c>
      <c r="B888" s="1">
        <v>12000</v>
      </c>
    </row>
    <row r="889" spans="1:2">
      <c r="A889" s="6" t="s">
        <v>893</v>
      </c>
      <c r="B889" s="1">
        <v>4000</v>
      </c>
    </row>
    <row r="890" spans="1:2">
      <c r="A890" s="6" t="s">
        <v>894</v>
      </c>
      <c r="B890" s="1">
        <v>2500</v>
      </c>
    </row>
    <row r="891" spans="1:2">
      <c r="A891" s="6" t="s">
        <v>895</v>
      </c>
      <c r="B891" s="1">
        <v>4000</v>
      </c>
    </row>
    <row r="892" spans="1:2">
      <c r="A892" s="6" t="s">
        <v>896</v>
      </c>
      <c r="B892" s="1">
        <v>6000</v>
      </c>
    </row>
    <row r="893" spans="1:2">
      <c r="A893" s="6" t="s">
        <v>897</v>
      </c>
      <c r="B893" s="1">
        <v>8000</v>
      </c>
    </row>
    <row r="894" spans="1:2">
      <c r="A894" s="6" t="s">
        <v>898</v>
      </c>
      <c r="B894" s="1">
        <v>7500</v>
      </c>
    </row>
    <row r="895" spans="1:2">
      <c r="A895" s="6" t="s">
        <v>899</v>
      </c>
      <c r="B895" s="1">
        <v>16000</v>
      </c>
    </row>
    <row r="896" spans="1:2">
      <c r="A896" s="6" t="s">
        <v>900</v>
      </c>
      <c r="B896" s="1">
        <v>3000</v>
      </c>
    </row>
    <row r="897" spans="1:2">
      <c r="A897" s="6" t="s">
        <v>901</v>
      </c>
      <c r="B897" s="1">
        <v>7000</v>
      </c>
    </row>
    <row r="898" spans="1:2">
      <c r="A898" s="6" t="s">
        <v>902</v>
      </c>
      <c r="B898" s="1">
        <v>4000</v>
      </c>
    </row>
    <row r="899" spans="1:2">
      <c r="A899" s="6" t="s">
        <v>903</v>
      </c>
      <c r="B899" s="1">
        <v>10000</v>
      </c>
    </row>
    <row r="900" spans="1:2">
      <c r="A900" s="6" t="s">
        <v>904</v>
      </c>
      <c r="B900" s="1">
        <v>14000</v>
      </c>
    </row>
    <row r="901" spans="1:2">
      <c r="A901" s="6" t="s">
        <v>905</v>
      </c>
      <c r="B901" s="1">
        <v>2500</v>
      </c>
    </row>
    <row r="902" spans="1:2">
      <c r="A902" s="6" t="s">
        <v>906</v>
      </c>
      <c r="B902" s="1">
        <v>5000</v>
      </c>
    </row>
    <row r="903" spans="1:2">
      <c r="A903" s="6" t="s">
        <v>907</v>
      </c>
      <c r="B903" s="1">
        <v>2500</v>
      </c>
    </row>
    <row r="904" spans="1:2">
      <c r="A904" s="6" t="s">
        <v>908</v>
      </c>
      <c r="B904" s="1">
        <v>3000</v>
      </c>
    </row>
    <row r="905" spans="1:2">
      <c r="A905" s="6" t="s">
        <v>909</v>
      </c>
      <c r="B905" s="1">
        <v>6000</v>
      </c>
    </row>
    <row r="906" spans="1:2">
      <c r="A906" s="6" t="s">
        <v>910</v>
      </c>
      <c r="B906" s="1">
        <v>2500</v>
      </c>
    </row>
    <row r="907" spans="1:2">
      <c r="A907" s="6" t="s">
        <v>911</v>
      </c>
      <c r="B907" s="1">
        <v>15000</v>
      </c>
    </row>
    <row r="908" spans="1:2">
      <c r="A908" s="6" t="s">
        <v>912</v>
      </c>
      <c r="B908" s="1">
        <v>8000</v>
      </c>
    </row>
    <row r="909" spans="1:2">
      <c r="A909" s="6" t="s">
        <v>913</v>
      </c>
      <c r="B909" s="1">
        <v>5000</v>
      </c>
    </row>
    <row r="910" spans="1:2">
      <c r="A910" s="6" t="s">
        <v>914</v>
      </c>
      <c r="B910" s="1">
        <v>15000</v>
      </c>
    </row>
    <row r="911" spans="1:2">
      <c r="A911" s="6" t="s">
        <v>915</v>
      </c>
      <c r="B911" s="1">
        <v>2500</v>
      </c>
    </row>
    <row r="912" spans="1:2">
      <c r="A912" s="6" t="s">
        <v>916</v>
      </c>
      <c r="B912" s="1">
        <v>8000</v>
      </c>
    </row>
    <row r="913" spans="1:2">
      <c r="A913" s="6" t="s">
        <v>917</v>
      </c>
      <c r="B913" s="1">
        <v>2500</v>
      </c>
    </row>
    <row r="914" spans="1:2">
      <c r="A914" s="6" t="s">
        <v>918</v>
      </c>
      <c r="B914" s="1">
        <v>2500</v>
      </c>
    </row>
    <row r="915" spans="1:2">
      <c r="A915" s="6" t="s">
        <v>919</v>
      </c>
      <c r="B915" s="1">
        <v>8000</v>
      </c>
    </row>
    <row r="916" spans="1:2">
      <c r="A916" s="6" t="s">
        <v>920</v>
      </c>
      <c r="B916" s="1">
        <v>5000</v>
      </c>
    </row>
    <row r="917" spans="1:2">
      <c r="A917" s="6" t="s">
        <v>921</v>
      </c>
      <c r="B917" s="1">
        <v>2500</v>
      </c>
    </row>
    <row r="918" spans="1:2">
      <c r="A918" s="6" t="s">
        <v>922</v>
      </c>
      <c r="B918" s="1">
        <v>5000</v>
      </c>
    </row>
    <row r="919" spans="1:2">
      <c r="A919" s="6" t="s">
        <v>923</v>
      </c>
      <c r="B919" s="1">
        <v>4000</v>
      </c>
    </row>
    <row r="920" spans="1:2">
      <c r="A920" s="6" t="s">
        <v>924</v>
      </c>
      <c r="B920" s="1">
        <v>7000</v>
      </c>
    </row>
    <row r="921" spans="1:2">
      <c r="A921" s="6" t="s">
        <v>925</v>
      </c>
      <c r="B921" s="1">
        <v>4000</v>
      </c>
    </row>
    <row r="922" spans="1:2">
      <c r="A922" s="6" t="s">
        <v>926</v>
      </c>
      <c r="B922" s="1">
        <v>6000</v>
      </c>
    </row>
    <row r="923" spans="1:2">
      <c r="A923" s="6" t="s">
        <v>927</v>
      </c>
      <c r="B923" s="1">
        <v>6000</v>
      </c>
    </row>
    <row r="924" spans="1:2">
      <c r="A924" s="6" t="s">
        <v>928</v>
      </c>
      <c r="B924" s="1">
        <v>2500</v>
      </c>
    </row>
    <row r="925" spans="1:2">
      <c r="A925" s="6" t="s">
        <v>929</v>
      </c>
      <c r="B925" s="1">
        <v>3000</v>
      </c>
    </row>
    <row r="926" spans="1:2">
      <c r="A926" s="6" t="s">
        <v>930</v>
      </c>
      <c r="B926" s="1">
        <v>2500</v>
      </c>
    </row>
    <row r="927" spans="1:2">
      <c r="A927" s="6" t="s">
        <v>931</v>
      </c>
      <c r="B927" s="1">
        <v>7500</v>
      </c>
    </row>
    <row r="928" spans="1:2">
      <c r="A928" s="6" t="s">
        <v>932</v>
      </c>
      <c r="B928" s="1">
        <v>6000</v>
      </c>
    </row>
    <row r="929" spans="1:2">
      <c r="A929" s="6" t="s">
        <v>933</v>
      </c>
      <c r="B929" s="1">
        <v>3000</v>
      </c>
    </row>
    <row r="930" spans="1:2">
      <c r="A930" s="6" t="s">
        <v>934</v>
      </c>
      <c r="B930" s="1">
        <v>8000</v>
      </c>
    </row>
    <row r="931" spans="1:2">
      <c r="A931" s="6" t="s">
        <v>935</v>
      </c>
      <c r="B931" s="1">
        <v>10000</v>
      </c>
    </row>
    <row r="932" spans="1:2">
      <c r="A932" s="6" t="s">
        <v>936</v>
      </c>
      <c r="B932" s="1">
        <v>6000</v>
      </c>
    </row>
    <row r="933" spans="1:2">
      <c r="A933" s="6" t="s">
        <v>937</v>
      </c>
      <c r="B933" s="1">
        <v>3000</v>
      </c>
    </row>
    <row r="934" spans="1:2">
      <c r="A934" s="6" t="s">
        <v>938</v>
      </c>
      <c r="B934" s="1">
        <v>7500</v>
      </c>
    </row>
    <row r="935" spans="1:2">
      <c r="A935" s="6" t="s">
        <v>939</v>
      </c>
      <c r="B935" s="1">
        <v>3000</v>
      </c>
    </row>
    <row r="936" spans="1:2">
      <c r="A936" s="6" t="s">
        <v>940</v>
      </c>
      <c r="B936" s="1">
        <v>10000</v>
      </c>
    </row>
    <row r="937" spans="1:2">
      <c r="A937" s="6" t="s">
        <v>941</v>
      </c>
      <c r="B937" s="1">
        <v>7500</v>
      </c>
    </row>
    <row r="938" spans="1:2">
      <c r="A938" s="6" t="s">
        <v>942</v>
      </c>
      <c r="B938" s="1">
        <v>6000</v>
      </c>
    </row>
    <row r="939" spans="1:2">
      <c r="A939" s="6" t="s">
        <v>943</v>
      </c>
      <c r="B939" s="1">
        <v>8000</v>
      </c>
    </row>
    <row r="940" spans="1:2">
      <c r="A940" s="6" t="s">
        <v>944</v>
      </c>
      <c r="B940" s="1">
        <v>5000</v>
      </c>
    </row>
    <row r="941" spans="1:2">
      <c r="A941" s="6" t="s">
        <v>945</v>
      </c>
      <c r="B941" s="1">
        <v>3000</v>
      </c>
    </row>
    <row r="942" spans="1:2">
      <c r="A942" s="6" t="s">
        <v>946</v>
      </c>
      <c r="B942" s="1">
        <v>7500</v>
      </c>
    </row>
    <row r="943" spans="1:2">
      <c r="A943" s="6" t="s">
        <v>947</v>
      </c>
      <c r="B943" s="1">
        <v>3000</v>
      </c>
    </row>
    <row r="944" spans="1:2">
      <c r="A944" s="6" t="s">
        <v>948</v>
      </c>
      <c r="B944" s="1">
        <v>3000</v>
      </c>
    </row>
    <row r="945" spans="1:2">
      <c r="A945" s="6" t="s">
        <v>949</v>
      </c>
      <c r="B945" s="1">
        <v>5000</v>
      </c>
    </row>
    <row r="946" spans="1:2">
      <c r="A946" s="6" t="s">
        <v>950</v>
      </c>
      <c r="B946" s="1">
        <v>3000</v>
      </c>
    </row>
    <row r="947" spans="1:2">
      <c r="A947" s="6" t="s">
        <v>951</v>
      </c>
      <c r="B947" s="1">
        <v>2500</v>
      </c>
    </row>
    <row r="948" spans="1:2">
      <c r="A948" s="6" t="s">
        <v>952</v>
      </c>
      <c r="B948" s="1">
        <v>6000</v>
      </c>
    </row>
    <row r="949" spans="1:2">
      <c r="A949" s="6" t="s">
        <v>953</v>
      </c>
      <c r="B949" s="1">
        <v>2500</v>
      </c>
    </row>
    <row r="950" spans="1:2">
      <c r="A950" s="6" t="s">
        <v>954</v>
      </c>
      <c r="B950" s="1">
        <v>8000</v>
      </c>
    </row>
    <row r="951" spans="1:2">
      <c r="A951" s="6" t="s">
        <v>955</v>
      </c>
      <c r="B951" s="1">
        <v>3000</v>
      </c>
    </row>
    <row r="952" spans="1:2">
      <c r="A952" s="6" t="s">
        <v>956</v>
      </c>
      <c r="B952" s="1">
        <v>2500</v>
      </c>
    </row>
    <row r="953" spans="1:2">
      <c r="A953" s="6" t="s">
        <v>957</v>
      </c>
      <c r="B953" s="1">
        <v>8000</v>
      </c>
    </row>
    <row r="954" spans="1:2">
      <c r="A954" s="6" t="s">
        <v>958</v>
      </c>
      <c r="B954" s="1">
        <v>14000</v>
      </c>
    </row>
    <row r="955" spans="1:2">
      <c r="A955" s="6" t="s">
        <v>959</v>
      </c>
      <c r="B955" s="1">
        <v>6000</v>
      </c>
    </row>
    <row r="956" spans="1:2">
      <c r="A956" s="6" t="s">
        <v>960</v>
      </c>
      <c r="B956" s="1">
        <v>2500</v>
      </c>
    </row>
    <row r="957" spans="1:2">
      <c r="A957" s="6" t="s">
        <v>961</v>
      </c>
      <c r="B957" s="1">
        <v>6000</v>
      </c>
    </row>
    <row r="958" spans="1:2">
      <c r="A958" s="6" t="s">
        <v>962</v>
      </c>
      <c r="B958" s="1">
        <v>5000</v>
      </c>
    </row>
    <row r="959" spans="1:2">
      <c r="A959" s="6" t="s">
        <v>963</v>
      </c>
      <c r="B959" s="1">
        <v>6000</v>
      </c>
    </row>
    <row r="960" spans="1:2">
      <c r="A960" s="6" t="s">
        <v>964</v>
      </c>
      <c r="B960" s="1">
        <v>2500</v>
      </c>
    </row>
    <row r="961" spans="1:2">
      <c r="A961" s="6" t="s">
        <v>965</v>
      </c>
      <c r="B961" s="1">
        <v>2500</v>
      </c>
    </row>
    <row r="962" spans="1:2">
      <c r="A962" s="6" t="s">
        <v>966</v>
      </c>
      <c r="B962" s="1">
        <v>3000</v>
      </c>
    </row>
    <row r="963" spans="1:2">
      <c r="A963" s="6" t="s">
        <v>967</v>
      </c>
      <c r="B963" s="1">
        <v>6000</v>
      </c>
    </row>
    <row r="964" spans="1:2">
      <c r="A964" s="6" t="s">
        <v>968</v>
      </c>
      <c r="B964" s="1">
        <v>7500</v>
      </c>
    </row>
    <row r="965" spans="1:2">
      <c r="A965" s="6" t="s">
        <v>969</v>
      </c>
      <c r="B965" s="1">
        <v>7500</v>
      </c>
    </row>
    <row r="966" spans="1:2">
      <c r="A966" s="6" t="s">
        <v>970</v>
      </c>
      <c r="B966" s="1">
        <v>7000</v>
      </c>
    </row>
    <row r="967" spans="1:2">
      <c r="A967" s="6" t="s">
        <v>971</v>
      </c>
      <c r="B967" s="1">
        <v>5000</v>
      </c>
    </row>
    <row r="968" spans="1:2">
      <c r="A968" s="6" t="s">
        <v>972</v>
      </c>
      <c r="B968" s="1">
        <v>8000</v>
      </c>
    </row>
    <row r="969" spans="1:2">
      <c r="A969" s="6" t="s">
        <v>973</v>
      </c>
      <c r="B969" s="1">
        <v>5000</v>
      </c>
    </row>
    <row r="970" spans="1:2">
      <c r="A970" s="6" t="s">
        <v>974</v>
      </c>
      <c r="B970" s="1">
        <v>5000</v>
      </c>
    </row>
    <row r="971" spans="1:2">
      <c r="A971" s="6" t="s">
        <v>975</v>
      </c>
      <c r="B971" s="1">
        <v>2500</v>
      </c>
    </row>
    <row r="972" spans="1:2">
      <c r="A972" s="6" t="s">
        <v>976</v>
      </c>
      <c r="B972" s="1">
        <v>8000</v>
      </c>
    </row>
    <row r="973" spans="1:2">
      <c r="A973" s="6" t="s">
        <v>977</v>
      </c>
      <c r="B973" s="1">
        <v>3000</v>
      </c>
    </row>
    <row r="974" spans="1:2">
      <c r="A974" s="6" t="s">
        <v>978</v>
      </c>
      <c r="B974" s="1">
        <v>14000</v>
      </c>
    </row>
    <row r="975" spans="1:2">
      <c r="A975" s="6" t="s">
        <v>979</v>
      </c>
      <c r="B975" s="1">
        <v>2500</v>
      </c>
    </row>
    <row r="976" spans="1:2">
      <c r="A976" s="6" t="s">
        <v>980</v>
      </c>
      <c r="B976" s="1">
        <v>2500</v>
      </c>
    </row>
    <row r="977" spans="1:2">
      <c r="A977" s="6" t="s">
        <v>981</v>
      </c>
      <c r="B977" s="1">
        <v>3000</v>
      </c>
    </row>
    <row r="978" spans="1:2">
      <c r="A978" s="6" t="s">
        <v>982</v>
      </c>
      <c r="B978" s="1">
        <v>3000</v>
      </c>
    </row>
    <row r="979" spans="1:2">
      <c r="A979" s="6" t="s">
        <v>983</v>
      </c>
      <c r="B979" s="1">
        <v>5000</v>
      </c>
    </row>
    <row r="980" spans="1:2">
      <c r="A980" s="6" t="s">
        <v>984</v>
      </c>
      <c r="B980" s="1">
        <v>6000</v>
      </c>
    </row>
    <row r="981" spans="1:2">
      <c r="A981" s="6" t="s">
        <v>985</v>
      </c>
      <c r="B981" s="1">
        <v>14000</v>
      </c>
    </row>
    <row r="982" spans="1:2">
      <c r="A982" s="6" t="s">
        <v>986</v>
      </c>
      <c r="B982" s="1">
        <v>6000</v>
      </c>
    </row>
    <row r="983" spans="1:2">
      <c r="A983" s="6" t="s">
        <v>987</v>
      </c>
      <c r="B983" s="1">
        <v>16000</v>
      </c>
    </row>
    <row r="984" spans="1:2">
      <c r="A984" s="6" t="s">
        <v>988</v>
      </c>
      <c r="B984" s="1">
        <v>3000</v>
      </c>
    </row>
    <row r="985" spans="1:2">
      <c r="A985" s="6" t="s">
        <v>989</v>
      </c>
      <c r="B985" s="1">
        <v>5000</v>
      </c>
    </row>
    <row r="986" spans="1:2">
      <c r="A986" s="6" t="s">
        <v>990</v>
      </c>
      <c r="B986" s="1">
        <v>6000</v>
      </c>
    </row>
    <row r="987" spans="1:2">
      <c r="A987" s="6" t="s">
        <v>991</v>
      </c>
      <c r="B987" s="1">
        <v>3000</v>
      </c>
    </row>
    <row r="988" spans="1:2">
      <c r="A988" s="6" t="s">
        <v>992</v>
      </c>
      <c r="B988" s="1">
        <v>6000</v>
      </c>
    </row>
    <row r="989" spans="1:2">
      <c r="A989" s="6" t="s">
        <v>993</v>
      </c>
      <c r="B989" s="1">
        <v>5000</v>
      </c>
    </row>
    <row r="990" spans="1:2">
      <c r="A990" s="6" t="s">
        <v>994</v>
      </c>
      <c r="B990" s="1">
        <v>3000</v>
      </c>
    </row>
    <row r="991" spans="1:2">
      <c r="A991" s="6" t="s">
        <v>995</v>
      </c>
      <c r="B991" s="1">
        <v>2500</v>
      </c>
    </row>
    <row r="992" spans="1:2">
      <c r="A992" s="6" t="s">
        <v>996</v>
      </c>
      <c r="B992" s="1">
        <v>8000</v>
      </c>
    </row>
    <row r="993" spans="1:2">
      <c r="A993" s="6" t="s">
        <v>997</v>
      </c>
      <c r="B993" s="1">
        <v>2500</v>
      </c>
    </row>
    <row r="994" spans="1:2">
      <c r="A994" s="6" t="s">
        <v>998</v>
      </c>
      <c r="B994" s="1">
        <v>5000</v>
      </c>
    </row>
    <row r="995" spans="1:2">
      <c r="A995" s="6" t="s">
        <v>999</v>
      </c>
      <c r="B995" s="1">
        <v>14000</v>
      </c>
    </row>
    <row r="996" spans="1:2">
      <c r="A996" s="6" t="s">
        <v>1000</v>
      </c>
      <c r="B996" s="1">
        <v>3000</v>
      </c>
    </row>
    <row r="997" spans="1:2">
      <c r="A997" s="6" t="s">
        <v>1001</v>
      </c>
      <c r="B997" s="1">
        <v>7500</v>
      </c>
    </row>
    <row r="998" spans="1:2">
      <c r="A998" s="6" t="s">
        <v>1002</v>
      </c>
      <c r="B998" s="1">
        <v>8000</v>
      </c>
    </row>
    <row r="999" spans="1:2">
      <c r="A999" s="6" t="s">
        <v>1003</v>
      </c>
      <c r="B999" s="1">
        <v>12000</v>
      </c>
    </row>
    <row r="1000" spans="1:2">
      <c r="A1000" s="6" t="s">
        <v>1004</v>
      </c>
      <c r="B1000" s="1">
        <v>12000</v>
      </c>
    </row>
    <row r="1001" spans="1:2">
      <c r="A1001" s="6" t="s">
        <v>1005</v>
      </c>
      <c r="B1001" s="1">
        <v>3000</v>
      </c>
    </row>
    <row r="1002" spans="1:2">
      <c r="A1002" s="6" t="s">
        <v>1006</v>
      </c>
      <c r="B1002" s="1">
        <v>5000</v>
      </c>
    </row>
    <row r="1003" spans="1:2">
      <c r="A1003" s="6" t="s">
        <v>1007</v>
      </c>
      <c r="B1003" s="1">
        <v>2500</v>
      </c>
    </row>
    <row r="1004" spans="1:2">
      <c r="A1004" s="6" t="s">
        <v>1008</v>
      </c>
      <c r="B1004" s="1">
        <v>5604000</v>
      </c>
    </row>
  </sheetData>
  <pageMargins left="0.7" right="0.7" top="0.75" bottom="0.75" header="0.3" footer="0.3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04"/>
  <sheetViews>
    <sheetView workbookViewId="0">
      <selection activeCell="F43" sqref="F43"/>
    </sheetView>
  </sheetViews>
  <sheetFormatPr defaultColWidth="9" defaultRowHeight="14.25" outlineLevelCol="1"/>
  <cols>
    <col min="1" max="1" width="12.25"/>
    <col min="2" max="2" width="14.75"/>
    <col min="3" max="3" width="15.375" customWidth="1"/>
  </cols>
  <sheetData>
    <row r="3" spans="1:2">
      <c r="A3" t="s">
        <v>1</v>
      </c>
      <c r="B3" t="s">
        <v>1009</v>
      </c>
    </row>
    <row r="4" spans="1:2">
      <c r="A4" s="6" t="s">
        <v>5</v>
      </c>
      <c r="B4">
        <v>1</v>
      </c>
    </row>
    <row r="5" spans="1:2">
      <c r="A5" s="6" t="s">
        <v>7</v>
      </c>
      <c r="B5">
        <v>1</v>
      </c>
    </row>
    <row r="6" spans="1:2">
      <c r="A6" s="6" t="s">
        <v>9</v>
      </c>
      <c r="B6">
        <v>2</v>
      </c>
    </row>
    <row r="7" spans="1:2">
      <c r="A7" s="6" t="s">
        <v>11</v>
      </c>
      <c r="B7">
        <v>1</v>
      </c>
    </row>
    <row r="8" spans="1:2">
      <c r="A8" s="6" t="s">
        <v>12</v>
      </c>
      <c r="B8">
        <v>2</v>
      </c>
    </row>
    <row r="9" spans="1:2">
      <c r="A9" s="6" t="s">
        <v>13</v>
      </c>
      <c r="B9">
        <v>1</v>
      </c>
    </row>
    <row r="10" spans="1:2">
      <c r="A10" s="6" t="s">
        <v>14</v>
      </c>
      <c r="B10">
        <v>1</v>
      </c>
    </row>
    <row r="11" spans="1:2">
      <c r="A11" s="6" t="s">
        <v>15</v>
      </c>
      <c r="B11">
        <v>1</v>
      </c>
    </row>
    <row r="12" spans="1:2">
      <c r="A12" s="6" t="s">
        <v>16</v>
      </c>
      <c r="B12">
        <v>1</v>
      </c>
    </row>
    <row r="13" spans="1:2">
      <c r="A13" s="6" t="s">
        <v>17</v>
      </c>
      <c r="B13">
        <v>1</v>
      </c>
    </row>
    <row r="14" spans="1:2">
      <c r="A14" s="6" t="s">
        <v>18</v>
      </c>
      <c r="B14">
        <v>1</v>
      </c>
    </row>
    <row r="15" spans="1:2">
      <c r="A15" s="6" t="s">
        <v>19</v>
      </c>
      <c r="B15">
        <v>1</v>
      </c>
    </row>
    <row r="16" spans="1:2">
      <c r="A16" s="6" t="s">
        <v>20</v>
      </c>
      <c r="B16">
        <v>1</v>
      </c>
    </row>
    <row r="17" spans="1:2">
      <c r="A17" s="6" t="s">
        <v>21</v>
      </c>
      <c r="B17">
        <v>1</v>
      </c>
    </row>
    <row r="18" spans="1:2">
      <c r="A18" s="6" t="s">
        <v>22</v>
      </c>
      <c r="B18">
        <v>1</v>
      </c>
    </row>
    <row r="19" spans="1:2">
      <c r="A19" s="6" t="s">
        <v>23</v>
      </c>
      <c r="B19">
        <v>2</v>
      </c>
    </row>
    <row r="20" spans="1:2">
      <c r="A20" s="6" t="s">
        <v>24</v>
      </c>
      <c r="B20">
        <v>1</v>
      </c>
    </row>
    <row r="21" spans="1:2">
      <c r="A21" s="6" t="s">
        <v>25</v>
      </c>
      <c r="B21">
        <v>1</v>
      </c>
    </row>
    <row r="22" spans="1:2">
      <c r="A22" s="6" t="s">
        <v>26</v>
      </c>
      <c r="B22">
        <v>1</v>
      </c>
    </row>
    <row r="23" spans="1:2">
      <c r="A23" s="6" t="s">
        <v>27</v>
      </c>
      <c r="B23">
        <v>1</v>
      </c>
    </row>
    <row r="24" spans="1:2">
      <c r="A24" s="6" t="s">
        <v>28</v>
      </c>
      <c r="B24">
        <v>1</v>
      </c>
    </row>
    <row r="25" spans="1:2">
      <c r="A25" s="6" t="s">
        <v>29</v>
      </c>
      <c r="B25">
        <v>1</v>
      </c>
    </row>
    <row r="26" spans="1:2">
      <c r="A26" s="6" t="s">
        <v>30</v>
      </c>
      <c r="B26">
        <v>1</v>
      </c>
    </row>
    <row r="27" spans="1:2">
      <c r="A27" s="6" t="s">
        <v>31</v>
      </c>
      <c r="B27">
        <v>2</v>
      </c>
    </row>
    <row r="28" spans="1:2">
      <c r="A28" s="6" t="s">
        <v>32</v>
      </c>
      <c r="B28">
        <v>2</v>
      </c>
    </row>
    <row r="29" spans="1:2">
      <c r="A29" s="6" t="s">
        <v>33</v>
      </c>
      <c r="B29">
        <v>1</v>
      </c>
    </row>
    <row r="30" spans="1:2">
      <c r="A30" s="6" t="s">
        <v>34</v>
      </c>
      <c r="B30">
        <v>1</v>
      </c>
    </row>
    <row r="31" spans="1:2">
      <c r="A31" s="6" t="s">
        <v>35</v>
      </c>
      <c r="B31">
        <v>1</v>
      </c>
    </row>
    <row r="32" spans="1:2">
      <c r="A32" s="6" t="s">
        <v>36</v>
      </c>
      <c r="B32">
        <v>1</v>
      </c>
    </row>
    <row r="33" spans="1:2">
      <c r="A33" s="6" t="s">
        <v>37</v>
      </c>
      <c r="B33">
        <v>1</v>
      </c>
    </row>
    <row r="34" spans="1:2">
      <c r="A34" s="6" t="s">
        <v>38</v>
      </c>
      <c r="B34">
        <v>1</v>
      </c>
    </row>
    <row r="35" spans="1:2">
      <c r="A35" s="6" t="s">
        <v>39</v>
      </c>
      <c r="B35">
        <v>1</v>
      </c>
    </row>
    <row r="36" spans="1:2">
      <c r="A36" s="6" t="s">
        <v>40</v>
      </c>
      <c r="B36">
        <v>1</v>
      </c>
    </row>
    <row r="37" spans="1:2">
      <c r="A37" s="6" t="s">
        <v>41</v>
      </c>
      <c r="B37">
        <v>2</v>
      </c>
    </row>
    <row r="38" spans="1:2">
      <c r="A38" s="6" t="s">
        <v>42</v>
      </c>
      <c r="B38">
        <v>2</v>
      </c>
    </row>
    <row r="39" spans="1:2">
      <c r="A39" s="6" t="s">
        <v>43</v>
      </c>
      <c r="B39">
        <v>1</v>
      </c>
    </row>
    <row r="40" spans="1:2">
      <c r="A40" s="6" t="s">
        <v>44</v>
      </c>
      <c r="B40">
        <v>2</v>
      </c>
    </row>
    <row r="41" spans="1:2">
      <c r="A41" s="6" t="s">
        <v>45</v>
      </c>
      <c r="B41">
        <v>1</v>
      </c>
    </row>
    <row r="42" spans="1:2">
      <c r="A42" s="6" t="s">
        <v>46</v>
      </c>
      <c r="B42">
        <v>1</v>
      </c>
    </row>
    <row r="43" spans="1:2">
      <c r="A43" s="6" t="s">
        <v>47</v>
      </c>
      <c r="B43">
        <v>1</v>
      </c>
    </row>
    <row r="44" spans="1:2">
      <c r="A44" s="6" t="s">
        <v>48</v>
      </c>
      <c r="B44">
        <v>1</v>
      </c>
    </row>
    <row r="45" spans="1:2">
      <c r="A45" s="6" t="s">
        <v>49</v>
      </c>
      <c r="B45">
        <v>2</v>
      </c>
    </row>
    <row r="46" spans="1:2">
      <c r="A46" s="6" t="s">
        <v>50</v>
      </c>
      <c r="B46">
        <v>1</v>
      </c>
    </row>
    <row r="47" spans="1:2">
      <c r="A47" s="6" t="s">
        <v>51</v>
      </c>
      <c r="B47">
        <v>2</v>
      </c>
    </row>
    <row r="48" spans="1:2">
      <c r="A48" s="6" t="s">
        <v>52</v>
      </c>
      <c r="B48">
        <v>1</v>
      </c>
    </row>
    <row r="49" spans="1:2">
      <c r="A49" s="6" t="s">
        <v>53</v>
      </c>
      <c r="B49">
        <v>1</v>
      </c>
    </row>
    <row r="50" spans="1:2">
      <c r="A50" s="6" t="s">
        <v>54</v>
      </c>
      <c r="B50">
        <v>1</v>
      </c>
    </row>
    <row r="51" spans="1:2">
      <c r="A51" s="6" t="s">
        <v>55</v>
      </c>
      <c r="B51">
        <v>1</v>
      </c>
    </row>
    <row r="52" spans="1:2">
      <c r="A52" s="6" t="s">
        <v>56</v>
      </c>
      <c r="B52">
        <v>1</v>
      </c>
    </row>
    <row r="53" spans="1:2">
      <c r="A53" s="6" t="s">
        <v>57</v>
      </c>
      <c r="B53">
        <v>2</v>
      </c>
    </row>
    <row r="54" spans="1:2">
      <c r="A54" s="6" t="s">
        <v>58</v>
      </c>
      <c r="B54">
        <v>1</v>
      </c>
    </row>
    <row r="55" spans="1:2">
      <c r="A55" s="6" t="s">
        <v>59</v>
      </c>
      <c r="B55">
        <v>2</v>
      </c>
    </row>
    <row r="56" spans="1:2">
      <c r="A56" s="6" t="s">
        <v>60</v>
      </c>
      <c r="B56">
        <v>1</v>
      </c>
    </row>
    <row r="57" spans="1:2">
      <c r="A57" s="6" t="s">
        <v>61</v>
      </c>
      <c r="B57">
        <v>1</v>
      </c>
    </row>
    <row r="58" spans="1:2">
      <c r="A58" s="6" t="s">
        <v>62</v>
      </c>
      <c r="B58">
        <v>1</v>
      </c>
    </row>
    <row r="59" spans="1:2">
      <c r="A59" s="6" t="s">
        <v>63</v>
      </c>
      <c r="B59">
        <v>1</v>
      </c>
    </row>
    <row r="60" spans="1:2">
      <c r="A60" s="6" t="s">
        <v>64</v>
      </c>
      <c r="B60">
        <v>2</v>
      </c>
    </row>
    <row r="61" spans="1:2">
      <c r="A61" s="6" t="s">
        <v>65</v>
      </c>
      <c r="B61">
        <v>1</v>
      </c>
    </row>
    <row r="62" spans="1:2">
      <c r="A62" s="6" t="s">
        <v>66</v>
      </c>
      <c r="B62">
        <v>1</v>
      </c>
    </row>
    <row r="63" spans="1:2">
      <c r="A63" s="6" t="s">
        <v>67</v>
      </c>
      <c r="B63">
        <v>2</v>
      </c>
    </row>
    <row r="64" spans="1:2">
      <c r="A64" s="6" t="s">
        <v>68</v>
      </c>
      <c r="B64">
        <v>1</v>
      </c>
    </row>
    <row r="65" spans="1:2">
      <c r="A65" s="6" t="s">
        <v>69</v>
      </c>
      <c r="B65">
        <v>1</v>
      </c>
    </row>
    <row r="66" spans="1:2">
      <c r="A66" s="6" t="s">
        <v>70</v>
      </c>
      <c r="B66">
        <v>1</v>
      </c>
    </row>
    <row r="67" spans="1:2">
      <c r="A67" s="6" t="s">
        <v>71</v>
      </c>
      <c r="B67">
        <v>1</v>
      </c>
    </row>
    <row r="68" spans="1:2">
      <c r="A68" s="6" t="s">
        <v>72</v>
      </c>
      <c r="B68">
        <v>1</v>
      </c>
    </row>
    <row r="69" spans="1:2">
      <c r="A69" s="6" t="s">
        <v>73</v>
      </c>
      <c r="B69">
        <v>1</v>
      </c>
    </row>
    <row r="70" spans="1:2">
      <c r="A70" s="6" t="s">
        <v>74</v>
      </c>
      <c r="B70">
        <v>1</v>
      </c>
    </row>
    <row r="71" spans="1:2">
      <c r="A71" s="6" t="s">
        <v>75</v>
      </c>
      <c r="B71">
        <v>2</v>
      </c>
    </row>
    <row r="72" spans="1:2">
      <c r="A72" s="6" t="s">
        <v>76</v>
      </c>
      <c r="B72">
        <v>1</v>
      </c>
    </row>
    <row r="73" spans="1:2">
      <c r="A73" s="6" t="s">
        <v>77</v>
      </c>
      <c r="B73">
        <v>1</v>
      </c>
    </row>
    <row r="74" spans="1:2">
      <c r="A74" s="6" t="s">
        <v>78</v>
      </c>
      <c r="B74">
        <v>2</v>
      </c>
    </row>
    <row r="75" spans="1:2">
      <c r="A75" s="6" t="s">
        <v>79</v>
      </c>
      <c r="B75">
        <v>1</v>
      </c>
    </row>
    <row r="76" spans="1:2">
      <c r="A76" s="6" t="s">
        <v>80</v>
      </c>
      <c r="B76">
        <v>1</v>
      </c>
    </row>
    <row r="77" spans="1:2">
      <c r="A77" s="6" t="s">
        <v>81</v>
      </c>
      <c r="B77">
        <v>1</v>
      </c>
    </row>
    <row r="78" spans="1:2">
      <c r="A78" s="6" t="s">
        <v>82</v>
      </c>
      <c r="B78">
        <v>1</v>
      </c>
    </row>
    <row r="79" spans="1:2">
      <c r="A79" s="6" t="s">
        <v>83</v>
      </c>
      <c r="B79">
        <v>1</v>
      </c>
    </row>
    <row r="80" spans="1:2">
      <c r="A80" s="6" t="s">
        <v>84</v>
      </c>
      <c r="B80">
        <v>1</v>
      </c>
    </row>
    <row r="81" spans="1:2">
      <c r="A81" s="6" t="s">
        <v>85</v>
      </c>
      <c r="B81">
        <v>1</v>
      </c>
    </row>
    <row r="82" spans="1:2">
      <c r="A82" s="6" t="s">
        <v>86</v>
      </c>
      <c r="B82">
        <v>1</v>
      </c>
    </row>
    <row r="83" spans="1:2">
      <c r="A83" s="6" t="s">
        <v>87</v>
      </c>
      <c r="B83">
        <v>1</v>
      </c>
    </row>
    <row r="84" spans="1:2">
      <c r="A84" s="6" t="s">
        <v>88</v>
      </c>
      <c r="B84">
        <v>2</v>
      </c>
    </row>
    <row r="85" spans="1:2">
      <c r="A85" s="6" t="s">
        <v>89</v>
      </c>
      <c r="B85">
        <v>2</v>
      </c>
    </row>
    <row r="86" spans="1:2">
      <c r="A86" s="6" t="s">
        <v>90</v>
      </c>
      <c r="B86">
        <v>1</v>
      </c>
    </row>
    <row r="87" spans="1:2">
      <c r="A87" s="6" t="s">
        <v>91</v>
      </c>
      <c r="B87">
        <v>2</v>
      </c>
    </row>
    <row r="88" spans="1:2">
      <c r="A88" s="6" t="s">
        <v>92</v>
      </c>
      <c r="B88">
        <v>1</v>
      </c>
    </row>
    <row r="89" spans="1:2">
      <c r="A89" s="6" t="s">
        <v>93</v>
      </c>
      <c r="B89">
        <v>2</v>
      </c>
    </row>
    <row r="90" spans="1:2">
      <c r="A90" s="6" t="s">
        <v>94</v>
      </c>
      <c r="B90">
        <v>1</v>
      </c>
    </row>
    <row r="91" spans="1:2">
      <c r="A91" s="6" t="s">
        <v>95</v>
      </c>
      <c r="B91">
        <v>1</v>
      </c>
    </row>
    <row r="92" spans="1:2">
      <c r="A92" s="6" t="s">
        <v>96</v>
      </c>
      <c r="B92">
        <v>1</v>
      </c>
    </row>
    <row r="93" spans="1:2">
      <c r="A93" s="6" t="s">
        <v>97</v>
      </c>
      <c r="B93">
        <v>1</v>
      </c>
    </row>
    <row r="94" spans="1:2">
      <c r="A94" s="6" t="s">
        <v>98</v>
      </c>
      <c r="B94">
        <v>2</v>
      </c>
    </row>
    <row r="95" spans="1:2">
      <c r="A95" s="6" t="s">
        <v>99</v>
      </c>
      <c r="B95">
        <v>1</v>
      </c>
    </row>
    <row r="96" spans="1:2">
      <c r="A96" s="6" t="s">
        <v>100</v>
      </c>
      <c r="B96">
        <v>1</v>
      </c>
    </row>
    <row r="97" spans="1:2">
      <c r="A97" s="6" t="s">
        <v>101</v>
      </c>
      <c r="B97">
        <v>2</v>
      </c>
    </row>
    <row r="98" spans="1:2">
      <c r="A98" s="6" t="s">
        <v>102</v>
      </c>
      <c r="B98">
        <v>2</v>
      </c>
    </row>
    <row r="99" spans="1:2">
      <c r="A99" s="6" t="s">
        <v>103</v>
      </c>
      <c r="B99">
        <v>1</v>
      </c>
    </row>
    <row r="100" spans="1:2">
      <c r="A100" s="6" t="s">
        <v>104</v>
      </c>
      <c r="B100">
        <v>1</v>
      </c>
    </row>
    <row r="101" spans="1:2">
      <c r="A101" s="6" t="s">
        <v>105</v>
      </c>
      <c r="B101">
        <v>1</v>
      </c>
    </row>
    <row r="102" spans="1:2">
      <c r="A102" s="6" t="s">
        <v>106</v>
      </c>
      <c r="B102">
        <v>2</v>
      </c>
    </row>
    <row r="103" spans="1:2">
      <c r="A103" s="6" t="s">
        <v>107</v>
      </c>
      <c r="B103">
        <v>1</v>
      </c>
    </row>
    <row r="104" spans="1:2">
      <c r="A104" s="6" t="s">
        <v>108</v>
      </c>
      <c r="B104">
        <v>2</v>
      </c>
    </row>
    <row r="105" spans="1:2">
      <c r="A105" s="6" t="s">
        <v>109</v>
      </c>
      <c r="B105">
        <v>1</v>
      </c>
    </row>
    <row r="106" spans="1:2">
      <c r="A106" s="6" t="s">
        <v>110</v>
      </c>
      <c r="B106">
        <v>1</v>
      </c>
    </row>
    <row r="107" spans="1:2">
      <c r="A107" s="6" t="s">
        <v>111</v>
      </c>
      <c r="B107">
        <v>2</v>
      </c>
    </row>
    <row r="108" spans="1:2">
      <c r="A108" s="6" t="s">
        <v>112</v>
      </c>
      <c r="B108">
        <v>1</v>
      </c>
    </row>
    <row r="109" spans="1:2">
      <c r="A109" s="6" t="s">
        <v>113</v>
      </c>
      <c r="B109">
        <v>1</v>
      </c>
    </row>
    <row r="110" spans="1:2">
      <c r="A110" s="6" t="s">
        <v>114</v>
      </c>
      <c r="B110">
        <v>1</v>
      </c>
    </row>
    <row r="111" spans="1:2">
      <c r="A111" s="6" t="s">
        <v>115</v>
      </c>
      <c r="B111">
        <v>1</v>
      </c>
    </row>
    <row r="112" spans="1:2">
      <c r="A112" s="6" t="s">
        <v>116</v>
      </c>
      <c r="B112">
        <v>1</v>
      </c>
    </row>
    <row r="113" spans="1:2">
      <c r="A113" s="6" t="s">
        <v>117</v>
      </c>
      <c r="B113">
        <v>2</v>
      </c>
    </row>
    <row r="114" spans="1:2">
      <c r="A114" s="6" t="s">
        <v>118</v>
      </c>
      <c r="B114">
        <v>1</v>
      </c>
    </row>
    <row r="115" spans="1:2">
      <c r="A115" s="6" t="s">
        <v>119</v>
      </c>
      <c r="B115">
        <v>1</v>
      </c>
    </row>
    <row r="116" spans="1:2">
      <c r="A116" s="6" t="s">
        <v>120</v>
      </c>
      <c r="B116">
        <v>1</v>
      </c>
    </row>
    <row r="117" spans="1:2">
      <c r="A117" s="6" t="s">
        <v>121</v>
      </c>
      <c r="B117">
        <v>1</v>
      </c>
    </row>
    <row r="118" spans="1:2">
      <c r="A118" s="6" t="s">
        <v>122</v>
      </c>
      <c r="B118">
        <v>2</v>
      </c>
    </row>
    <row r="119" spans="1:2">
      <c r="A119" s="6" t="s">
        <v>123</v>
      </c>
      <c r="B119">
        <v>1</v>
      </c>
    </row>
    <row r="120" spans="1:2">
      <c r="A120" s="6" t="s">
        <v>124</v>
      </c>
      <c r="B120">
        <v>1</v>
      </c>
    </row>
    <row r="121" spans="1:2">
      <c r="A121" s="6" t="s">
        <v>125</v>
      </c>
      <c r="B121">
        <v>1</v>
      </c>
    </row>
    <row r="122" spans="1:2">
      <c r="A122" s="6" t="s">
        <v>126</v>
      </c>
      <c r="B122">
        <v>1</v>
      </c>
    </row>
    <row r="123" spans="1:2">
      <c r="A123" s="6" t="s">
        <v>127</v>
      </c>
      <c r="B123">
        <v>1</v>
      </c>
    </row>
    <row r="124" spans="1:2">
      <c r="A124" s="6" t="s">
        <v>128</v>
      </c>
      <c r="B124">
        <v>1</v>
      </c>
    </row>
    <row r="125" spans="1:2">
      <c r="A125" s="6" t="s">
        <v>129</v>
      </c>
      <c r="B125">
        <v>1</v>
      </c>
    </row>
    <row r="126" spans="1:2">
      <c r="A126" s="6" t="s">
        <v>130</v>
      </c>
      <c r="B126">
        <v>1</v>
      </c>
    </row>
    <row r="127" spans="1:2">
      <c r="A127" s="6" t="s">
        <v>131</v>
      </c>
      <c r="B127">
        <v>1</v>
      </c>
    </row>
    <row r="128" spans="1:2">
      <c r="A128" s="6" t="s">
        <v>132</v>
      </c>
      <c r="B128">
        <v>1</v>
      </c>
    </row>
    <row r="129" spans="1:2">
      <c r="A129" s="6" t="s">
        <v>133</v>
      </c>
      <c r="B129">
        <v>1</v>
      </c>
    </row>
    <row r="130" spans="1:2">
      <c r="A130" s="6" t="s">
        <v>134</v>
      </c>
      <c r="B130">
        <v>1</v>
      </c>
    </row>
    <row r="131" spans="1:2">
      <c r="A131" s="6" t="s">
        <v>135</v>
      </c>
      <c r="B131">
        <v>1</v>
      </c>
    </row>
    <row r="132" spans="1:2">
      <c r="A132" s="6" t="s">
        <v>136</v>
      </c>
      <c r="B132">
        <v>1</v>
      </c>
    </row>
    <row r="133" spans="1:2">
      <c r="A133" s="6" t="s">
        <v>137</v>
      </c>
      <c r="B133">
        <v>1</v>
      </c>
    </row>
    <row r="134" spans="1:2">
      <c r="A134" s="6" t="s">
        <v>138</v>
      </c>
      <c r="B134">
        <v>2</v>
      </c>
    </row>
    <row r="135" spans="1:2">
      <c r="A135" s="6" t="s">
        <v>139</v>
      </c>
      <c r="B135">
        <v>2</v>
      </c>
    </row>
    <row r="136" spans="1:2">
      <c r="A136" s="6" t="s">
        <v>140</v>
      </c>
      <c r="B136">
        <v>1</v>
      </c>
    </row>
    <row r="137" spans="1:2">
      <c r="A137" s="6" t="s">
        <v>141</v>
      </c>
      <c r="B137">
        <v>1</v>
      </c>
    </row>
    <row r="138" spans="1:2">
      <c r="A138" s="6" t="s">
        <v>142</v>
      </c>
      <c r="B138">
        <v>1</v>
      </c>
    </row>
    <row r="139" spans="1:2">
      <c r="A139" s="6" t="s">
        <v>143</v>
      </c>
      <c r="B139">
        <v>1</v>
      </c>
    </row>
    <row r="140" spans="1:2">
      <c r="A140" s="6" t="s">
        <v>144</v>
      </c>
      <c r="B140">
        <v>1</v>
      </c>
    </row>
    <row r="141" spans="1:2">
      <c r="A141" s="6" t="s">
        <v>145</v>
      </c>
      <c r="B141">
        <v>1</v>
      </c>
    </row>
    <row r="142" spans="1:2">
      <c r="A142" s="6" t="s">
        <v>146</v>
      </c>
      <c r="B142">
        <v>1</v>
      </c>
    </row>
    <row r="143" spans="1:2">
      <c r="A143" s="6" t="s">
        <v>147</v>
      </c>
      <c r="B143">
        <v>2</v>
      </c>
    </row>
    <row r="144" spans="1:2">
      <c r="A144" s="6" t="s">
        <v>148</v>
      </c>
      <c r="B144">
        <v>1</v>
      </c>
    </row>
    <row r="145" spans="1:2">
      <c r="A145" s="6" t="s">
        <v>149</v>
      </c>
      <c r="B145">
        <v>1</v>
      </c>
    </row>
    <row r="146" spans="1:2">
      <c r="A146" s="6" t="s">
        <v>150</v>
      </c>
      <c r="B146">
        <v>1</v>
      </c>
    </row>
    <row r="147" spans="1:2">
      <c r="A147" s="6" t="s">
        <v>151</v>
      </c>
      <c r="B147">
        <v>2</v>
      </c>
    </row>
    <row r="148" spans="1:2">
      <c r="A148" s="6" t="s">
        <v>152</v>
      </c>
      <c r="B148">
        <v>1</v>
      </c>
    </row>
    <row r="149" spans="1:2">
      <c r="A149" s="6" t="s">
        <v>153</v>
      </c>
      <c r="B149">
        <v>1</v>
      </c>
    </row>
    <row r="150" spans="1:2">
      <c r="A150" s="6" t="s">
        <v>154</v>
      </c>
      <c r="B150">
        <v>1</v>
      </c>
    </row>
    <row r="151" spans="1:2">
      <c r="A151" s="6" t="s">
        <v>155</v>
      </c>
      <c r="B151">
        <v>1</v>
      </c>
    </row>
    <row r="152" spans="1:2">
      <c r="A152" s="6" t="s">
        <v>156</v>
      </c>
      <c r="B152">
        <v>1</v>
      </c>
    </row>
    <row r="153" spans="1:2">
      <c r="A153" s="6" t="s">
        <v>157</v>
      </c>
      <c r="B153">
        <v>1</v>
      </c>
    </row>
    <row r="154" spans="1:2">
      <c r="A154" s="6" t="s">
        <v>158</v>
      </c>
      <c r="B154">
        <v>1</v>
      </c>
    </row>
    <row r="155" spans="1:2">
      <c r="A155" s="6" t="s">
        <v>159</v>
      </c>
      <c r="B155">
        <v>1</v>
      </c>
    </row>
    <row r="156" spans="1:2">
      <c r="A156" s="6" t="s">
        <v>160</v>
      </c>
      <c r="B156">
        <v>2</v>
      </c>
    </row>
    <row r="157" spans="1:2">
      <c r="A157" s="6" t="s">
        <v>161</v>
      </c>
      <c r="B157">
        <v>1</v>
      </c>
    </row>
    <row r="158" spans="1:2">
      <c r="A158" s="6" t="s">
        <v>162</v>
      </c>
      <c r="B158">
        <v>1</v>
      </c>
    </row>
    <row r="159" spans="1:2">
      <c r="A159" s="6" t="s">
        <v>163</v>
      </c>
      <c r="B159">
        <v>1</v>
      </c>
    </row>
    <row r="160" spans="1:2">
      <c r="A160" s="6" t="s">
        <v>164</v>
      </c>
      <c r="B160">
        <v>2</v>
      </c>
    </row>
    <row r="161" spans="1:2">
      <c r="A161" s="6" t="s">
        <v>165</v>
      </c>
      <c r="B161">
        <v>1</v>
      </c>
    </row>
    <row r="162" spans="1:2">
      <c r="A162" s="6" t="s">
        <v>166</v>
      </c>
      <c r="B162">
        <v>1</v>
      </c>
    </row>
    <row r="163" spans="1:2">
      <c r="A163" s="6" t="s">
        <v>167</v>
      </c>
      <c r="B163">
        <v>1</v>
      </c>
    </row>
    <row r="164" spans="1:2">
      <c r="A164" s="6" t="s">
        <v>168</v>
      </c>
      <c r="B164">
        <v>2</v>
      </c>
    </row>
    <row r="165" spans="1:2">
      <c r="A165" s="6" t="s">
        <v>169</v>
      </c>
      <c r="B165">
        <v>1</v>
      </c>
    </row>
    <row r="166" spans="1:2">
      <c r="A166" s="6" t="s">
        <v>170</v>
      </c>
      <c r="B166">
        <v>1</v>
      </c>
    </row>
    <row r="167" spans="1:2">
      <c r="A167" s="6" t="s">
        <v>171</v>
      </c>
      <c r="B167">
        <v>1</v>
      </c>
    </row>
    <row r="168" spans="1:2">
      <c r="A168" s="6" t="s">
        <v>172</v>
      </c>
      <c r="B168">
        <v>1</v>
      </c>
    </row>
    <row r="169" spans="1:2">
      <c r="A169" s="6" t="s">
        <v>173</v>
      </c>
      <c r="B169">
        <v>1</v>
      </c>
    </row>
    <row r="170" spans="1:2">
      <c r="A170" s="6" t="s">
        <v>174</v>
      </c>
      <c r="B170">
        <v>2</v>
      </c>
    </row>
    <row r="171" spans="1:2">
      <c r="A171" s="6" t="s">
        <v>175</v>
      </c>
      <c r="B171">
        <v>1</v>
      </c>
    </row>
    <row r="172" spans="1:2">
      <c r="A172" s="6" t="s">
        <v>176</v>
      </c>
      <c r="B172">
        <v>1</v>
      </c>
    </row>
    <row r="173" spans="1:2">
      <c r="A173" s="6" t="s">
        <v>177</v>
      </c>
      <c r="B173">
        <v>1</v>
      </c>
    </row>
    <row r="174" spans="1:2">
      <c r="A174" s="6" t="s">
        <v>178</v>
      </c>
      <c r="B174">
        <v>1</v>
      </c>
    </row>
    <row r="175" spans="1:2">
      <c r="A175" s="6" t="s">
        <v>179</v>
      </c>
      <c r="B175">
        <v>1</v>
      </c>
    </row>
    <row r="176" spans="1:2">
      <c r="A176" s="6" t="s">
        <v>180</v>
      </c>
      <c r="B176">
        <v>2</v>
      </c>
    </row>
    <row r="177" spans="1:2">
      <c r="A177" s="6" t="s">
        <v>181</v>
      </c>
      <c r="B177">
        <v>1</v>
      </c>
    </row>
    <row r="178" spans="1:2">
      <c r="A178" s="6" t="s">
        <v>182</v>
      </c>
      <c r="B178">
        <v>1</v>
      </c>
    </row>
    <row r="179" spans="1:2">
      <c r="A179" s="6" t="s">
        <v>183</v>
      </c>
      <c r="B179">
        <v>1</v>
      </c>
    </row>
    <row r="180" spans="1:2">
      <c r="A180" s="6" t="s">
        <v>184</v>
      </c>
      <c r="B180">
        <v>2</v>
      </c>
    </row>
    <row r="181" spans="1:2">
      <c r="A181" s="6" t="s">
        <v>185</v>
      </c>
      <c r="B181">
        <v>2</v>
      </c>
    </row>
    <row r="182" spans="1:2">
      <c r="A182" s="6" t="s">
        <v>186</v>
      </c>
      <c r="B182">
        <v>2</v>
      </c>
    </row>
    <row r="183" spans="1:2">
      <c r="A183" s="6" t="s">
        <v>187</v>
      </c>
      <c r="B183">
        <v>1</v>
      </c>
    </row>
    <row r="184" spans="1:2">
      <c r="A184" s="6" t="s">
        <v>188</v>
      </c>
      <c r="B184">
        <v>1</v>
      </c>
    </row>
    <row r="185" spans="1:2">
      <c r="A185" s="6" t="s">
        <v>189</v>
      </c>
      <c r="B185">
        <v>1</v>
      </c>
    </row>
    <row r="186" spans="1:2">
      <c r="A186" s="6" t="s">
        <v>190</v>
      </c>
      <c r="B186">
        <v>1</v>
      </c>
    </row>
    <row r="187" spans="1:2">
      <c r="A187" s="6" t="s">
        <v>191</v>
      </c>
      <c r="B187">
        <v>2</v>
      </c>
    </row>
    <row r="188" spans="1:2">
      <c r="A188" s="6" t="s">
        <v>192</v>
      </c>
      <c r="B188">
        <v>2</v>
      </c>
    </row>
    <row r="189" spans="1:2">
      <c r="A189" s="6" t="s">
        <v>193</v>
      </c>
      <c r="B189">
        <v>2</v>
      </c>
    </row>
    <row r="190" spans="1:2">
      <c r="A190" s="6" t="s">
        <v>194</v>
      </c>
      <c r="B190">
        <v>1</v>
      </c>
    </row>
    <row r="191" spans="1:2">
      <c r="A191" s="6" t="s">
        <v>195</v>
      </c>
      <c r="B191">
        <v>1</v>
      </c>
    </row>
    <row r="192" spans="1:2">
      <c r="A192" s="6" t="s">
        <v>196</v>
      </c>
      <c r="B192">
        <v>2</v>
      </c>
    </row>
    <row r="193" spans="1:2">
      <c r="A193" s="6" t="s">
        <v>197</v>
      </c>
      <c r="B193">
        <v>1</v>
      </c>
    </row>
    <row r="194" spans="1:2">
      <c r="A194" s="6" t="s">
        <v>198</v>
      </c>
      <c r="B194">
        <v>1</v>
      </c>
    </row>
    <row r="195" spans="1:2">
      <c r="A195" s="6" t="s">
        <v>199</v>
      </c>
      <c r="B195">
        <v>2</v>
      </c>
    </row>
    <row r="196" spans="1:2">
      <c r="A196" s="6" t="s">
        <v>200</v>
      </c>
      <c r="B196">
        <v>2</v>
      </c>
    </row>
    <row r="197" spans="1:2">
      <c r="A197" s="6" t="s">
        <v>201</v>
      </c>
      <c r="B197">
        <v>1</v>
      </c>
    </row>
    <row r="198" spans="1:2">
      <c r="A198" s="6" t="s">
        <v>202</v>
      </c>
      <c r="B198">
        <v>2</v>
      </c>
    </row>
    <row r="199" spans="1:2">
      <c r="A199" s="6" t="s">
        <v>203</v>
      </c>
      <c r="B199">
        <v>1</v>
      </c>
    </row>
    <row r="200" spans="1:2">
      <c r="A200" s="6" t="s">
        <v>204</v>
      </c>
      <c r="B200">
        <v>1</v>
      </c>
    </row>
    <row r="201" spans="1:2">
      <c r="A201" s="6" t="s">
        <v>205</v>
      </c>
      <c r="B201">
        <v>1</v>
      </c>
    </row>
    <row r="202" spans="1:2">
      <c r="A202" s="6" t="s">
        <v>206</v>
      </c>
      <c r="B202">
        <v>2</v>
      </c>
    </row>
    <row r="203" spans="1:2">
      <c r="A203" s="6" t="s">
        <v>207</v>
      </c>
      <c r="B203">
        <v>1</v>
      </c>
    </row>
    <row r="204" spans="1:2">
      <c r="A204" s="6" t="s">
        <v>208</v>
      </c>
      <c r="B204">
        <v>1</v>
      </c>
    </row>
    <row r="205" spans="1:2">
      <c r="A205" s="6" t="s">
        <v>209</v>
      </c>
      <c r="B205">
        <v>1</v>
      </c>
    </row>
    <row r="206" spans="1:2">
      <c r="A206" s="6" t="s">
        <v>210</v>
      </c>
      <c r="B206">
        <v>2</v>
      </c>
    </row>
    <row r="207" spans="1:2">
      <c r="A207" s="6" t="s">
        <v>211</v>
      </c>
      <c r="B207">
        <v>1</v>
      </c>
    </row>
    <row r="208" spans="1:2">
      <c r="A208" s="6" t="s">
        <v>212</v>
      </c>
      <c r="B208">
        <v>1</v>
      </c>
    </row>
    <row r="209" spans="1:2">
      <c r="A209" s="6" t="s">
        <v>213</v>
      </c>
      <c r="B209">
        <v>1</v>
      </c>
    </row>
    <row r="210" spans="1:2">
      <c r="A210" s="6" t="s">
        <v>214</v>
      </c>
      <c r="B210">
        <v>2</v>
      </c>
    </row>
    <row r="211" spans="1:2">
      <c r="A211" s="6" t="s">
        <v>215</v>
      </c>
      <c r="B211">
        <v>2</v>
      </c>
    </row>
    <row r="212" spans="1:2">
      <c r="A212" s="6" t="s">
        <v>216</v>
      </c>
      <c r="B212">
        <v>1</v>
      </c>
    </row>
    <row r="213" spans="1:2">
      <c r="A213" s="6" t="s">
        <v>217</v>
      </c>
      <c r="B213">
        <v>1</v>
      </c>
    </row>
    <row r="214" spans="1:2">
      <c r="A214" s="6" t="s">
        <v>218</v>
      </c>
      <c r="B214">
        <v>1</v>
      </c>
    </row>
    <row r="215" spans="1:2">
      <c r="A215" s="6" t="s">
        <v>219</v>
      </c>
      <c r="B215">
        <v>1</v>
      </c>
    </row>
    <row r="216" spans="1:2">
      <c r="A216" s="6" t="s">
        <v>220</v>
      </c>
      <c r="B216">
        <v>2</v>
      </c>
    </row>
    <row r="217" spans="1:2">
      <c r="A217" s="6" t="s">
        <v>221</v>
      </c>
      <c r="B217">
        <v>1</v>
      </c>
    </row>
    <row r="218" spans="1:2">
      <c r="A218" s="6" t="s">
        <v>222</v>
      </c>
      <c r="B218">
        <v>1</v>
      </c>
    </row>
    <row r="219" spans="1:2">
      <c r="A219" s="6" t="s">
        <v>223</v>
      </c>
      <c r="B219">
        <v>1</v>
      </c>
    </row>
    <row r="220" spans="1:2">
      <c r="A220" s="6" t="s">
        <v>224</v>
      </c>
      <c r="B220">
        <v>1</v>
      </c>
    </row>
    <row r="221" spans="1:2">
      <c r="A221" s="6" t="s">
        <v>225</v>
      </c>
      <c r="B221">
        <v>1</v>
      </c>
    </row>
    <row r="222" spans="1:2">
      <c r="A222" s="6" t="s">
        <v>226</v>
      </c>
      <c r="B222">
        <v>1</v>
      </c>
    </row>
    <row r="223" spans="1:2">
      <c r="A223" s="6" t="s">
        <v>227</v>
      </c>
      <c r="B223">
        <v>1</v>
      </c>
    </row>
    <row r="224" spans="1:2">
      <c r="A224" s="6" t="s">
        <v>228</v>
      </c>
      <c r="B224">
        <v>1</v>
      </c>
    </row>
    <row r="225" spans="1:2">
      <c r="A225" s="6" t="s">
        <v>229</v>
      </c>
      <c r="B225">
        <v>1</v>
      </c>
    </row>
    <row r="226" spans="1:2">
      <c r="A226" s="6" t="s">
        <v>230</v>
      </c>
      <c r="B226">
        <v>1</v>
      </c>
    </row>
    <row r="227" spans="1:2">
      <c r="A227" s="6" t="s">
        <v>231</v>
      </c>
      <c r="B227">
        <v>1</v>
      </c>
    </row>
    <row r="228" spans="1:2">
      <c r="A228" s="6" t="s">
        <v>232</v>
      </c>
      <c r="B228">
        <v>1</v>
      </c>
    </row>
    <row r="229" spans="1:2">
      <c r="A229" s="6" t="s">
        <v>233</v>
      </c>
      <c r="B229">
        <v>1</v>
      </c>
    </row>
    <row r="230" spans="1:2">
      <c r="A230" s="6" t="s">
        <v>234</v>
      </c>
      <c r="B230">
        <v>1</v>
      </c>
    </row>
    <row r="231" spans="1:2">
      <c r="A231" s="6" t="s">
        <v>235</v>
      </c>
      <c r="B231">
        <v>1</v>
      </c>
    </row>
    <row r="232" spans="1:2">
      <c r="A232" s="6" t="s">
        <v>236</v>
      </c>
      <c r="B232">
        <v>1</v>
      </c>
    </row>
    <row r="233" spans="1:2">
      <c r="A233" s="6" t="s">
        <v>237</v>
      </c>
      <c r="B233">
        <v>2</v>
      </c>
    </row>
    <row r="234" spans="1:2">
      <c r="A234" s="6" t="s">
        <v>238</v>
      </c>
      <c r="B234">
        <v>1</v>
      </c>
    </row>
    <row r="235" spans="1:2">
      <c r="A235" s="6" t="s">
        <v>239</v>
      </c>
      <c r="B235">
        <v>1</v>
      </c>
    </row>
    <row r="236" spans="1:2">
      <c r="A236" s="6" t="s">
        <v>240</v>
      </c>
      <c r="B236">
        <v>1</v>
      </c>
    </row>
    <row r="237" spans="1:2">
      <c r="A237" s="6" t="s">
        <v>241</v>
      </c>
      <c r="B237">
        <v>1</v>
      </c>
    </row>
    <row r="238" spans="1:2">
      <c r="A238" s="6" t="s">
        <v>242</v>
      </c>
      <c r="B238">
        <v>1</v>
      </c>
    </row>
    <row r="239" spans="1:2">
      <c r="A239" s="6" t="s">
        <v>243</v>
      </c>
      <c r="B239">
        <v>1</v>
      </c>
    </row>
    <row r="240" spans="1:2">
      <c r="A240" s="6" t="s">
        <v>244</v>
      </c>
      <c r="B240">
        <v>1</v>
      </c>
    </row>
    <row r="241" spans="1:2">
      <c r="A241" s="6" t="s">
        <v>245</v>
      </c>
      <c r="B241">
        <v>1</v>
      </c>
    </row>
    <row r="242" spans="1:2">
      <c r="A242" s="6" t="s">
        <v>246</v>
      </c>
      <c r="B242">
        <v>1</v>
      </c>
    </row>
    <row r="243" spans="1:2">
      <c r="A243" s="6" t="s">
        <v>247</v>
      </c>
      <c r="B243">
        <v>1</v>
      </c>
    </row>
    <row r="244" spans="1:2">
      <c r="A244" s="6" t="s">
        <v>248</v>
      </c>
      <c r="B244">
        <v>1</v>
      </c>
    </row>
    <row r="245" spans="1:2">
      <c r="A245" s="6" t="s">
        <v>249</v>
      </c>
      <c r="B245">
        <v>2</v>
      </c>
    </row>
    <row r="246" spans="1:2">
      <c r="A246" s="6" t="s">
        <v>250</v>
      </c>
      <c r="B246">
        <v>2</v>
      </c>
    </row>
    <row r="247" spans="1:2">
      <c r="A247" s="6" t="s">
        <v>251</v>
      </c>
      <c r="B247">
        <v>1</v>
      </c>
    </row>
    <row r="248" spans="1:2">
      <c r="A248" s="6" t="s">
        <v>252</v>
      </c>
      <c r="B248">
        <v>1</v>
      </c>
    </row>
    <row r="249" spans="1:2">
      <c r="A249" s="6" t="s">
        <v>253</v>
      </c>
      <c r="B249">
        <v>2</v>
      </c>
    </row>
    <row r="250" spans="1:2">
      <c r="A250" s="6" t="s">
        <v>254</v>
      </c>
      <c r="B250">
        <v>2</v>
      </c>
    </row>
    <row r="251" spans="1:2">
      <c r="A251" s="6" t="s">
        <v>255</v>
      </c>
      <c r="B251">
        <v>1</v>
      </c>
    </row>
    <row r="252" spans="1:2">
      <c r="A252" s="6" t="s">
        <v>256</v>
      </c>
      <c r="B252">
        <v>1</v>
      </c>
    </row>
    <row r="253" spans="1:2">
      <c r="A253" s="6" t="s">
        <v>257</v>
      </c>
      <c r="B253">
        <v>2</v>
      </c>
    </row>
    <row r="254" spans="1:2">
      <c r="A254" s="6" t="s">
        <v>258</v>
      </c>
      <c r="B254">
        <v>1</v>
      </c>
    </row>
    <row r="255" spans="1:2">
      <c r="A255" s="6" t="s">
        <v>259</v>
      </c>
      <c r="B255">
        <v>2</v>
      </c>
    </row>
    <row r="256" spans="1:2">
      <c r="A256" s="6" t="s">
        <v>260</v>
      </c>
      <c r="B256">
        <v>2</v>
      </c>
    </row>
    <row r="257" spans="1:2">
      <c r="A257" s="6" t="s">
        <v>261</v>
      </c>
      <c r="B257">
        <v>2</v>
      </c>
    </row>
    <row r="258" spans="1:2">
      <c r="A258" s="6" t="s">
        <v>262</v>
      </c>
      <c r="B258">
        <v>1</v>
      </c>
    </row>
    <row r="259" spans="1:2">
      <c r="A259" s="6" t="s">
        <v>263</v>
      </c>
      <c r="B259">
        <v>1</v>
      </c>
    </row>
    <row r="260" spans="1:2">
      <c r="A260" s="6" t="s">
        <v>264</v>
      </c>
      <c r="B260">
        <v>2</v>
      </c>
    </row>
    <row r="261" spans="1:2">
      <c r="A261" s="6" t="s">
        <v>265</v>
      </c>
      <c r="B261">
        <v>1</v>
      </c>
    </row>
    <row r="262" spans="1:2">
      <c r="A262" s="6" t="s">
        <v>266</v>
      </c>
      <c r="B262">
        <v>2</v>
      </c>
    </row>
    <row r="263" spans="1:2">
      <c r="A263" s="6" t="s">
        <v>267</v>
      </c>
      <c r="B263">
        <v>1</v>
      </c>
    </row>
    <row r="264" spans="1:2">
      <c r="A264" s="6" t="s">
        <v>268</v>
      </c>
      <c r="B264">
        <v>1</v>
      </c>
    </row>
    <row r="265" spans="1:2">
      <c r="A265" s="6" t="s">
        <v>269</v>
      </c>
      <c r="B265">
        <v>1</v>
      </c>
    </row>
    <row r="266" spans="1:2">
      <c r="A266" s="6" t="s">
        <v>270</v>
      </c>
      <c r="B266">
        <v>1</v>
      </c>
    </row>
    <row r="267" spans="1:2">
      <c r="A267" s="6" t="s">
        <v>271</v>
      </c>
      <c r="B267">
        <v>1</v>
      </c>
    </row>
    <row r="268" spans="1:2">
      <c r="A268" s="6" t="s">
        <v>272</v>
      </c>
      <c r="B268">
        <v>1</v>
      </c>
    </row>
    <row r="269" spans="1:2">
      <c r="A269" s="6" t="s">
        <v>273</v>
      </c>
      <c r="B269">
        <v>1</v>
      </c>
    </row>
    <row r="270" spans="1:2">
      <c r="A270" s="6" t="s">
        <v>274</v>
      </c>
      <c r="B270">
        <v>1</v>
      </c>
    </row>
    <row r="271" spans="1:2">
      <c r="A271" s="6" t="s">
        <v>275</v>
      </c>
      <c r="B271">
        <v>1</v>
      </c>
    </row>
    <row r="272" spans="1:2">
      <c r="A272" s="6" t="s">
        <v>276</v>
      </c>
      <c r="B272">
        <v>2</v>
      </c>
    </row>
    <row r="273" spans="1:2">
      <c r="A273" s="6" t="s">
        <v>277</v>
      </c>
      <c r="B273">
        <v>1</v>
      </c>
    </row>
    <row r="274" spans="1:2">
      <c r="A274" s="6" t="s">
        <v>278</v>
      </c>
      <c r="B274">
        <v>2</v>
      </c>
    </row>
    <row r="275" spans="1:2">
      <c r="A275" s="6" t="s">
        <v>279</v>
      </c>
      <c r="B275">
        <v>2</v>
      </c>
    </row>
    <row r="276" spans="1:2">
      <c r="A276" s="6" t="s">
        <v>280</v>
      </c>
      <c r="B276">
        <v>1</v>
      </c>
    </row>
    <row r="277" spans="1:2">
      <c r="A277" s="6" t="s">
        <v>281</v>
      </c>
      <c r="B277">
        <v>1</v>
      </c>
    </row>
    <row r="278" spans="1:2">
      <c r="A278" s="6" t="s">
        <v>282</v>
      </c>
      <c r="B278">
        <v>2</v>
      </c>
    </row>
    <row r="279" spans="1:2">
      <c r="A279" s="6" t="s">
        <v>283</v>
      </c>
      <c r="B279">
        <v>1</v>
      </c>
    </row>
    <row r="280" spans="1:2">
      <c r="A280" s="6" t="s">
        <v>284</v>
      </c>
      <c r="B280">
        <v>1</v>
      </c>
    </row>
    <row r="281" spans="1:2">
      <c r="A281" s="6" t="s">
        <v>285</v>
      </c>
      <c r="B281">
        <v>2</v>
      </c>
    </row>
    <row r="282" spans="1:2">
      <c r="A282" s="6" t="s">
        <v>286</v>
      </c>
      <c r="B282">
        <v>2</v>
      </c>
    </row>
    <row r="283" spans="1:2">
      <c r="A283" s="6" t="s">
        <v>287</v>
      </c>
      <c r="B283">
        <v>1</v>
      </c>
    </row>
    <row r="284" spans="1:2">
      <c r="A284" s="6" t="s">
        <v>288</v>
      </c>
      <c r="B284">
        <v>2</v>
      </c>
    </row>
    <row r="285" spans="1:2">
      <c r="A285" s="6" t="s">
        <v>289</v>
      </c>
      <c r="B285">
        <v>1</v>
      </c>
    </row>
    <row r="286" spans="1:2">
      <c r="A286" s="6" t="s">
        <v>290</v>
      </c>
      <c r="B286">
        <v>1</v>
      </c>
    </row>
    <row r="287" spans="1:2">
      <c r="A287" s="6" t="s">
        <v>291</v>
      </c>
      <c r="B287">
        <v>1</v>
      </c>
    </row>
    <row r="288" spans="1:2">
      <c r="A288" s="6" t="s">
        <v>292</v>
      </c>
      <c r="B288">
        <v>1</v>
      </c>
    </row>
    <row r="289" spans="1:2">
      <c r="A289" s="6" t="s">
        <v>293</v>
      </c>
      <c r="B289">
        <v>2</v>
      </c>
    </row>
    <row r="290" spans="1:2">
      <c r="A290" s="6" t="s">
        <v>294</v>
      </c>
      <c r="B290">
        <v>1</v>
      </c>
    </row>
    <row r="291" spans="1:2">
      <c r="A291" s="6" t="s">
        <v>295</v>
      </c>
      <c r="B291">
        <v>2</v>
      </c>
    </row>
    <row r="292" spans="1:2">
      <c r="A292" s="6" t="s">
        <v>296</v>
      </c>
      <c r="B292">
        <v>1</v>
      </c>
    </row>
    <row r="293" spans="1:2">
      <c r="A293" s="6" t="s">
        <v>297</v>
      </c>
      <c r="B293">
        <v>2</v>
      </c>
    </row>
    <row r="294" spans="1:2">
      <c r="A294" s="6" t="s">
        <v>298</v>
      </c>
      <c r="B294">
        <v>1</v>
      </c>
    </row>
    <row r="295" spans="1:2">
      <c r="A295" s="6" t="s">
        <v>299</v>
      </c>
      <c r="B295">
        <v>1</v>
      </c>
    </row>
    <row r="296" spans="1:2">
      <c r="A296" s="6" t="s">
        <v>300</v>
      </c>
      <c r="B296">
        <v>2</v>
      </c>
    </row>
    <row r="297" spans="1:2">
      <c r="A297" s="6" t="s">
        <v>301</v>
      </c>
      <c r="B297">
        <v>1</v>
      </c>
    </row>
    <row r="298" spans="1:2">
      <c r="A298" s="6" t="s">
        <v>302</v>
      </c>
      <c r="B298">
        <v>1</v>
      </c>
    </row>
    <row r="299" spans="1:2">
      <c r="A299" s="6" t="s">
        <v>303</v>
      </c>
      <c r="B299">
        <v>1</v>
      </c>
    </row>
    <row r="300" spans="1:2">
      <c r="A300" s="6" t="s">
        <v>304</v>
      </c>
      <c r="B300">
        <v>1</v>
      </c>
    </row>
    <row r="301" spans="1:2">
      <c r="A301" s="6" t="s">
        <v>305</v>
      </c>
      <c r="B301">
        <v>1</v>
      </c>
    </row>
    <row r="302" spans="1:2">
      <c r="A302" s="6" t="s">
        <v>306</v>
      </c>
      <c r="B302">
        <v>2</v>
      </c>
    </row>
    <row r="303" spans="1:2">
      <c r="A303" s="6" t="s">
        <v>307</v>
      </c>
      <c r="B303">
        <v>1</v>
      </c>
    </row>
    <row r="304" spans="1:2">
      <c r="A304" s="6" t="s">
        <v>308</v>
      </c>
      <c r="B304">
        <v>1</v>
      </c>
    </row>
    <row r="305" spans="1:2">
      <c r="A305" s="6" t="s">
        <v>309</v>
      </c>
      <c r="B305">
        <v>1</v>
      </c>
    </row>
    <row r="306" spans="1:2">
      <c r="A306" s="6" t="s">
        <v>310</v>
      </c>
      <c r="B306">
        <v>2</v>
      </c>
    </row>
    <row r="307" spans="1:2">
      <c r="A307" s="6" t="s">
        <v>311</v>
      </c>
      <c r="B307">
        <v>1</v>
      </c>
    </row>
    <row r="308" spans="1:2">
      <c r="A308" s="6" t="s">
        <v>312</v>
      </c>
      <c r="B308">
        <v>1</v>
      </c>
    </row>
    <row r="309" spans="1:2">
      <c r="A309" s="6" t="s">
        <v>313</v>
      </c>
      <c r="B309">
        <v>2</v>
      </c>
    </row>
    <row r="310" spans="1:2">
      <c r="A310" s="6" t="s">
        <v>314</v>
      </c>
      <c r="B310">
        <v>1</v>
      </c>
    </row>
    <row r="311" spans="1:2">
      <c r="A311" s="6" t="s">
        <v>315</v>
      </c>
      <c r="B311">
        <v>1</v>
      </c>
    </row>
    <row r="312" spans="1:2">
      <c r="A312" s="6" t="s">
        <v>316</v>
      </c>
      <c r="B312">
        <v>2</v>
      </c>
    </row>
    <row r="313" spans="1:2">
      <c r="A313" s="6" t="s">
        <v>317</v>
      </c>
      <c r="B313">
        <v>1</v>
      </c>
    </row>
    <row r="314" spans="1:2">
      <c r="A314" s="6" t="s">
        <v>318</v>
      </c>
      <c r="B314">
        <v>1</v>
      </c>
    </row>
    <row r="315" spans="1:2">
      <c r="A315" s="6" t="s">
        <v>319</v>
      </c>
      <c r="B315">
        <v>2</v>
      </c>
    </row>
    <row r="316" spans="1:2">
      <c r="A316" s="6" t="s">
        <v>320</v>
      </c>
      <c r="B316">
        <v>2</v>
      </c>
    </row>
    <row r="317" spans="1:2">
      <c r="A317" s="6" t="s">
        <v>321</v>
      </c>
      <c r="B317">
        <v>2</v>
      </c>
    </row>
    <row r="318" spans="1:2">
      <c r="A318" s="6" t="s">
        <v>322</v>
      </c>
      <c r="B318">
        <v>1</v>
      </c>
    </row>
    <row r="319" spans="1:2">
      <c r="A319" s="6" t="s">
        <v>323</v>
      </c>
      <c r="B319">
        <v>2</v>
      </c>
    </row>
    <row r="320" spans="1:2">
      <c r="A320" s="6" t="s">
        <v>324</v>
      </c>
      <c r="B320">
        <v>1</v>
      </c>
    </row>
    <row r="321" spans="1:2">
      <c r="A321" s="6" t="s">
        <v>325</v>
      </c>
      <c r="B321">
        <v>1</v>
      </c>
    </row>
    <row r="322" spans="1:2">
      <c r="A322" s="6" t="s">
        <v>326</v>
      </c>
      <c r="B322">
        <v>1</v>
      </c>
    </row>
    <row r="323" spans="1:2">
      <c r="A323" s="6" t="s">
        <v>327</v>
      </c>
      <c r="B323">
        <v>1</v>
      </c>
    </row>
    <row r="324" spans="1:2">
      <c r="A324" s="6" t="s">
        <v>328</v>
      </c>
      <c r="B324">
        <v>1</v>
      </c>
    </row>
    <row r="325" spans="1:2">
      <c r="A325" s="6" t="s">
        <v>329</v>
      </c>
      <c r="B325">
        <v>1</v>
      </c>
    </row>
    <row r="326" spans="1:2">
      <c r="A326" s="6" t="s">
        <v>330</v>
      </c>
      <c r="B326">
        <v>1</v>
      </c>
    </row>
    <row r="327" spans="1:2">
      <c r="A327" s="6" t="s">
        <v>331</v>
      </c>
      <c r="B327">
        <v>1</v>
      </c>
    </row>
    <row r="328" spans="1:2">
      <c r="A328" s="6" t="s">
        <v>332</v>
      </c>
      <c r="B328">
        <v>2</v>
      </c>
    </row>
    <row r="329" spans="1:2">
      <c r="A329" s="6" t="s">
        <v>333</v>
      </c>
      <c r="B329">
        <v>1</v>
      </c>
    </row>
    <row r="330" spans="1:2">
      <c r="A330" s="6" t="s">
        <v>334</v>
      </c>
      <c r="B330">
        <v>1</v>
      </c>
    </row>
    <row r="331" spans="1:2">
      <c r="A331" s="6" t="s">
        <v>335</v>
      </c>
      <c r="B331">
        <v>1</v>
      </c>
    </row>
    <row r="332" spans="1:2">
      <c r="A332" s="6" t="s">
        <v>336</v>
      </c>
      <c r="B332">
        <v>1</v>
      </c>
    </row>
    <row r="333" spans="1:2">
      <c r="A333" s="6" t="s">
        <v>337</v>
      </c>
      <c r="B333">
        <v>1</v>
      </c>
    </row>
    <row r="334" spans="1:2">
      <c r="A334" s="6" t="s">
        <v>338</v>
      </c>
      <c r="B334">
        <v>1</v>
      </c>
    </row>
    <row r="335" spans="1:2">
      <c r="A335" s="6" t="s">
        <v>339</v>
      </c>
      <c r="B335">
        <v>1</v>
      </c>
    </row>
    <row r="336" spans="1:2">
      <c r="A336" s="6" t="s">
        <v>340</v>
      </c>
      <c r="B336">
        <v>1</v>
      </c>
    </row>
    <row r="337" spans="1:2">
      <c r="A337" s="6" t="s">
        <v>341</v>
      </c>
      <c r="B337">
        <v>1</v>
      </c>
    </row>
    <row r="338" spans="1:2">
      <c r="A338" s="6" t="s">
        <v>342</v>
      </c>
      <c r="B338">
        <v>1</v>
      </c>
    </row>
    <row r="339" spans="1:2">
      <c r="A339" s="6" t="s">
        <v>343</v>
      </c>
      <c r="B339">
        <v>2</v>
      </c>
    </row>
    <row r="340" spans="1:2">
      <c r="A340" s="6" t="s">
        <v>344</v>
      </c>
      <c r="B340">
        <v>1</v>
      </c>
    </row>
    <row r="341" spans="1:2">
      <c r="A341" s="6" t="s">
        <v>345</v>
      </c>
      <c r="B341">
        <v>1</v>
      </c>
    </row>
    <row r="342" spans="1:2">
      <c r="A342" s="6" t="s">
        <v>346</v>
      </c>
      <c r="B342">
        <v>2</v>
      </c>
    </row>
    <row r="343" spans="1:2">
      <c r="A343" s="6" t="s">
        <v>347</v>
      </c>
      <c r="B343">
        <v>1</v>
      </c>
    </row>
    <row r="344" spans="1:2">
      <c r="A344" s="6" t="s">
        <v>348</v>
      </c>
      <c r="B344">
        <v>1</v>
      </c>
    </row>
    <row r="345" spans="1:2">
      <c r="A345" s="6" t="s">
        <v>349</v>
      </c>
      <c r="B345">
        <v>2</v>
      </c>
    </row>
    <row r="346" spans="1:2">
      <c r="A346" s="6" t="s">
        <v>350</v>
      </c>
      <c r="B346">
        <v>2</v>
      </c>
    </row>
    <row r="347" spans="1:2">
      <c r="A347" s="6" t="s">
        <v>351</v>
      </c>
      <c r="B347">
        <v>2</v>
      </c>
    </row>
    <row r="348" spans="1:2">
      <c r="A348" s="6" t="s">
        <v>352</v>
      </c>
      <c r="B348">
        <v>1</v>
      </c>
    </row>
    <row r="349" spans="1:2">
      <c r="A349" s="6" t="s">
        <v>353</v>
      </c>
      <c r="B349">
        <v>1</v>
      </c>
    </row>
    <row r="350" spans="1:2">
      <c r="A350" s="6" t="s">
        <v>354</v>
      </c>
      <c r="B350">
        <v>1</v>
      </c>
    </row>
    <row r="351" spans="1:2">
      <c r="A351" s="6" t="s">
        <v>355</v>
      </c>
      <c r="B351">
        <v>1</v>
      </c>
    </row>
    <row r="352" spans="1:2">
      <c r="A352" s="6" t="s">
        <v>356</v>
      </c>
      <c r="B352">
        <v>1</v>
      </c>
    </row>
    <row r="353" spans="1:2">
      <c r="A353" s="6" t="s">
        <v>357</v>
      </c>
      <c r="B353">
        <v>1</v>
      </c>
    </row>
    <row r="354" spans="1:2">
      <c r="A354" s="6" t="s">
        <v>358</v>
      </c>
      <c r="B354">
        <v>2</v>
      </c>
    </row>
    <row r="355" spans="1:2">
      <c r="A355" s="6" t="s">
        <v>359</v>
      </c>
      <c r="B355">
        <v>1</v>
      </c>
    </row>
    <row r="356" spans="1:2">
      <c r="A356" s="6" t="s">
        <v>360</v>
      </c>
      <c r="B356">
        <v>1</v>
      </c>
    </row>
    <row r="357" spans="1:2">
      <c r="A357" s="6" t="s">
        <v>361</v>
      </c>
      <c r="B357">
        <v>1</v>
      </c>
    </row>
    <row r="358" spans="1:2">
      <c r="A358" s="6" t="s">
        <v>362</v>
      </c>
      <c r="B358">
        <v>1</v>
      </c>
    </row>
    <row r="359" spans="1:2">
      <c r="A359" s="6" t="s">
        <v>363</v>
      </c>
      <c r="B359">
        <v>1</v>
      </c>
    </row>
    <row r="360" spans="1:2">
      <c r="A360" s="6" t="s">
        <v>364</v>
      </c>
      <c r="B360">
        <v>1</v>
      </c>
    </row>
    <row r="361" spans="1:2">
      <c r="A361" s="6" t="s">
        <v>365</v>
      </c>
      <c r="B361">
        <v>1</v>
      </c>
    </row>
    <row r="362" spans="1:2">
      <c r="A362" s="6" t="s">
        <v>366</v>
      </c>
      <c r="B362">
        <v>1</v>
      </c>
    </row>
    <row r="363" spans="1:2">
      <c r="A363" s="6" t="s">
        <v>367</v>
      </c>
      <c r="B363">
        <v>1</v>
      </c>
    </row>
    <row r="364" spans="1:2">
      <c r="A364" s="6" t="s">
        <v>368</v>
      </c>
      <c r="B364">
        <v>1</v>
      </c>
    </row>
    <row r="365" spans="1:2">
      <c r="A365" s="6" t="s">
        <v>369</v>
      </c>
      <c r="B365">
        <v>1</v>
      </c>
    </row>
    <row r="366" spans="1:2">
      <c r="A366" s="6" t="s">
        <v>370</v>
      </c>
      <c r="B366">
        <v>1</v>
      </c>
    </row>
    <row r="367" spans="1:2">
      <c r="A367" s="6" t="s">
        <v>371</v>
      </c>
      <c r="B367">
        <v>1</v>
      </c>
    </row>
    <row r="368" spans="1:2">
      <c r="A368" s="6" t="s">
        <v>372</v>
      </c>
      <c r="B368">
        <v>1</v>
      </c>
    </row>
    <row r="369" spans="1:2">
      <c r="A369" s="6" t="s">
        <v>373</v>
      </c>
      <c r="B369">
        <v>2</v>
      </c>
    </row>
    <row r="370" spans="1:2">
      <c r="A370" s="6" t="s">
        <v>374</v>
      </c>
      <c r="B370">
        <v>1</v>
      </c>
    </row>
    <row r="371" spans="1:2">
      <c r="A371" s="6" t="s">
        <v>375</v>
      </c>
      <c r="B371">
        <v>1</v>
      </c>
    </row>
    <row r="372" spans="1:2">
      <c r="A372" s="6" t="s">
        <v>376</v>
      </c>
      <c r="B372">
        <v>1</v>
      </c>
    </row>
    <row r="373" spans="1:2">
      <c r="A373" s="6" t="s">
        <v>377</v>
      </c>
      <c r="B373">
        <v>1</v>
      </c>
    </row>
    <row r="374" spans="1:2">
      <c r="A374" s="6" t="s">
        <v>378</v>
      </c>
      <c r="B374">
        <v>1</v>
      </c>
    </row>
    <row r="375" spans="1:2">
      <c r="A375" s="6" t="s">
        <v>379</v>
      </c>
      <c r="B375">
        <v>1</v>
      </c>
    </row>
    <row r="376" spans="1:2">
      <c r="A376" s="6" t="s">
        <v>380</v>
      </c>
      <c r="B376">
        <v>1</v>
      </c>
    </row>
    <row r="377" spans="1:2">
      <c r="A377" s="6" t="s">
        <v>381</v>
      </c>
      <c r="B377">
        <v>1</v>
      </c>
    </row>
    <row r="378" spans="1:2">
      <c r="A378" s="6" t="s">
        <v>382</v>
      </c>
      <c r="B378">
        <v>1</v>
      </c>
    </row>
    <row r="379" spans="1:2">
      <c r="A379" s="6" t="s">
        <v>383</v>
      </c>
      <c r="B379">
        <v>1</v>
      </c>
    </row>
    <row r="380" spans="1:2">
      <c r="A380" s="6" t="s">
        <v>384</v>
      </c>
      <c r="B380">
        <v>1</v>
      </c>
    </row>
    <row r="381" spans="1:2">
      <c r="A381" s="6" t="s">
        <v>385</v>
      </c>
      <c r="B381">
        <v>1</v>
      </c>
    </row>
    <row r="382" spans="1:2">
      <c r="A382" s="6" t="s">
        <v>386</v>
      </c>
      <c r="B382">
        <v>2</v>
      </c>
    </row>
    <row r="383" spans="1:2">
      <c r="A383" s="6" t="s">
        <v>387</v>
      </c>
      <c r="B383">
        <v>2</v>
      </c>
    </row>
    <row r="384" spans="1:2">
      <c r="A384" s="6" t="s">
        <v>388</v>
      </c>
      <c r="B384">
        <v>1</v>
      </c>
    </row>
    <row r="385" spans="1:2">
      <c r="A385" s="6" t="s">
        <v>389</v>
      </c>
      <c r="B385">
        <v>2</v>
      </c>
    </row>
    <row r="386" spans="1:2">
      <c r="A386" s="6" t="s">
        <v>390</v>
      </c>
      <c r="B386">
        <v>1</v>
      </c>
    </row>
    <row r="387" spans="1:2">
      <c r="A387" s="6" t="s">
        <v>391</v>
      </c>
      <c r="B387">
        <v>1</v>
      </c>
    </row>
    <row r="388" spans="1:2">
      <c r="A388" s="6" t="s">
        <v>392</v>
      </c>
      <c r="B388">
        <v>2</v>
      </c>
    </row>
    <row r="389" spans="1:2">
      <c r="A389" s="6" t="s">
        <v>393</v>
      </c>
      <c r="B389">
        <v>1</v>
      </c>
    </row>
    <row r="390" spans="1:2">
      <c r="A390" s="6" t="s">
        <v>394</v>
      </c>
      <c r="B390">
        <v>2</v>
      </c>
    </row>
    <row r="391" spans="1:2">
      <c r="A391" s="6" t="s">
        <v>395</v>
      </c>
      <c r="B391">
        <v>2</v>
      </c>
    </row>
    <row r="392" spans="1:2">
      <c r="A392" s="6" t="s">
        <v>396</v>
      </c>
      <c r="B392">
        <v>1</v>
      </c>
    </row>
    <row r="393" spans="1:2">
      <c r="A393" s="6" t="s">
        <v>397</v>
      </c>
      <c r="B393">
        <v>2</v>
      </c>
    </row>
    <row r="394" spans="1:2">
      <c r="A394" s="6" t="s">
        <v>398</v>
      </c>
      <c r="B394">
        <v>1</v>
      </c>
    </row>
    <row r="395" spans="1:2">
      <c r="A395" s="6" t="s">
        <v>399</v>
      </c>
      <c r="B395">
        <v>1</v>
      </c>
    </row>
    <row r="396" spans="1:2">
      <c r="A396" s="6" t="s">
        <v>400</v>
      </c>
      <c r="B396">
        <v>1</v>
      </c>
    </row>
    <row r="397" spans="1:2">
      <c r="A397" s="6" t="s">
        <v>401</v>
      </c>
      <c r="B397">
        <v>2</v>
      </c>
    </row>
    <row r="398" spans="1:2">
      <c r="A398" s="6" t="s">
        <v>402</v>
      </c>
      <c r="B398">
        <v>1</v>
      </c>
    </row>
    <row r="399" spans="1:2">
      <c r="A399" s="6" t="s">
        <v>403</v>
      </c>
      <c r="B399">
        <v>1</v>
      </c>
    </row>
    <row r="400" spans="1:2">
      <c r="A400" s="6" t="s">
        <v>404</v>
      </c>
      <c r="B400">
        <v>2</v>
      </c>
    </row>
    <row r="401" spans="1:2">
      <c r="A401" s="6" t="s">
        <v>405</v>
      </c>
      <c r="B401">
        <v>1</v>
      </c>
    </row>
    <row r="402" spans="1:2">
      <c r="A402" s="6" t="s">
        <v>406</v>
      </c>
      <c r="B402">
        <v>1</v>
      </c>
    </row>
    <row r="403" spans="1:2">
      <c r="A403" s="6" t="s">
        <v>407</v>
      </c>
      <c r="B403">
        <v>1</v>
      </c>
    </row>
    <row r="404" spans="1:2">
      <c r="A404" s="6" t="s">
        <v>408</v>
      </c>
      <c r="B404">
        <v>2</v>
      </c>
    </row>
    <row r="405" spans="1:2">
      <c r="A405" s="6" t="s">
        <v>409</v>
      </c>
      <c r="B405">
        <v>1</v>
      </c>
    </row>
    <row r="406" spans="1:2">
      <c r="A406" s="6" t="s">
        <v>410</v>
      </c>
      <c r="B406">
        <v>1</v>
      </c>
    </row>
    <row r="407" spans="1:2">
      <c r="A407" s="6" t="s">
        <v>411</v>
      </c>
      <c r="B407">
        <v>1</v>
      </c>
    </row>
    <row r="408" spans="1:2">
      <c r="A408" s="6" t="s">
        <v>412</v>
      </c>
      <c r="B408">
        <v>1</v>
      </c>
    </row>
    <row r="409" spans="1:2">
      <c r="A409" s="6" t="s">
        <v>413</v>
      </c>
      <c r="B409">
        <v>2</v>
      </c>
    </row>
    <row r="410" spans="1:2">
      <c r="A410" s="6" t="s">
        <v>414</v>
      </c>
      <c r="B410">
        <v>1</v>
      </c>
    </row>
    <row r="411" spans="1:2">
      <c r="A411" s="6" t="s">
        <v>415</v>
      </c>
      <c r="B411">
        <v>1</v>
      </c>
    </row>
    <row r="412" spans="1:2">
      <c r="A412" s="6" t="s">
        <v>416</v>
      </c>
      <c r="B412">
        <v>2</v>
      </c>
    </row>
    <row r="413" spans="1:2">
      <c r="A413" s="6" t="s">
        <v>417</v>
      </c>
      <c r="B413">
        <v>1</v>
      </c>
    </row>
    <row r="414" spans="1:2">
      <c r="A414" s="6" t="s">
        <v>418</v>
      </c>
      <c r="B414">
        <v>1</v>
      </c>
    </row>
    <row r="415" spans="1:2">
      <c r="A415" s="6" t="s">
        <v>419</v>
      </c>
      <c r="B415">
        <v>1</v>
      </c>
    </row>
    <row r="416" spans="1:2">
      <c r="A416" s="6" t="s">
        <v>420</v>
      </c>
      <c r="B416">
        <v>1</v>
      </c>
    </row>
    <row r="417" spans="1:2">
      <c r="A417" s="6" t="s">
        <v>421</v>
      </c>
      <c r="B417">
        <v>2</v>
      </c>
    </row>
    <row r="418" spans="1:2">
      <c r="A418" s="6" t="s">
        <v>422</v>
      </c>
      <c r="B418">
        <v>1</v>
      </c>
    </row>
    <row r="419" spans="1:2">
      <c r="A419" s="6" t="s">
        <v>423</v>
      </c>
      <c r="B419">
        <v>2</v>
      </c>
    </row>
    <row r="420" spans="1:2">
      <c r="A420" s="6" t="s">
        <v>424</v>
      </c>
      <c r="B420">
        <v>1</v>
      </c>
    </row>
    <row r="421" spans="1:2">
      <c r="A421" s="6" t="s">
        <v>425</v>
      </c>
      <c r="B421">
        <v>2</v>
      </c>
    </row>
    <row r="422" spans="1:2">
      <c r="A422" s="6" t="s">
        <v>426</v>
      </c>
      <c r="B422">
        <v>1</v>
      </c>
    </row>
    <row r="423" spans="1:2">
      <c r="A423" s="6" t="s">
        <v>427</v>
      </c>
      <c r="B423">
        <v>1</v>
      </c>
    </row>
    <row r="424" spans="1:2">
      <c r="A424" s="6" t="s">
        <v>428</v>
      </c>
      <c r="B424">
        <v>1</v>
      </c>
    </row>
    <row r="425" spans="1:2">
      <c r="A425" s="6" t="s">
        <v>429</v>
      </c>
      <c r="B425">
        <v>2</v>
      </c>
    </row>
    <row r="426" spans="1:2">
      <c r="A426" s="6" t="s">
        <v>430</v>
      </c>
      <c r="B426">
        <v>1</v>
      </c>
    </row>
    <row r="427" spans="1:2">
      <c r="A427" s="6" t="s">
        <v>431</v>
      </c>
      <c r="B427">
        <v>1</v>
      </c>
    </row>
    <row r="428" spans="1:2">
      <c r="A428" s="6" t="s">
        <v>432</v>
      </c>
      <c r="B428">
        <v>1</v>
      </c>
    </row>
    <row r="429" spans="1:2">
      <c r="A429" s="6" t="s">
        <v>433</v>
      </c>
      <c r="B429">
        <v>1</v>
      </c>
    </row>
    <row r="430" spans="1:2">
      <c r="A430" s="6" t="s">
        <v>434</v>
      </c>
      <c r="B430">
        <v>2</v>
      </c>
    </row>
    <row r="431" spans="1:2">
      <c r="A431" s="6" t="s">
        <v>435</v>
      </c>
      <c r="B431">
        <v>1</v>
      </c>
    </row>
    <row r="432" spans="1:2">
      <c r="A432" s="6" t="s">
        <v>436</v>
      </c>
      <c r="B432">
        <v>2</v>
      </c>
    </row>
    <row r="433" spans="1:2">
      <c r="A433" s="6" t="s">
        <v>437</v>
      </c>
      <c r="B433">
        <v>2</v>
      </c>
    </row>
    <row r="434" spans="1:2">
      <c r="A434" s="6" t="s">
        <v>438</v>
      </c>
      <c r="B434">
        <v>2</v>
      </c>
    </row>
    <row r="435" spans="1:2">
      <c r="A435" s="6" t="s">
        <v>439</v>
      </c>
      <c r="B435">
        <v>1</v>
      </c>
    </row>
    <row r="436" spans="1:2">
      <c r="A436" s="6" t="s">
        <v>440</v>
      </c>
      <c r="B436">
        <v>2</v>
      </c>
    </row>
    <row r="437" spans="1:2">
      <c r="A437" s="6" t="s">
        <v>441</v>
      </c>
      <c r="B437">
        <v>1</v>
      </c>
    </row>
    <row r="438" spans="1:2">
      <c r="A438" s="6" t="s">
        <v>442</v>
      </c>
      <c r="B438">
        <v>1</v>
      </c>
    </row>
    <row r="439" spans="1:2">
      <c r="A439" s="6" t="s">
        <v>443</v>
      </c>
      <c r="B439">
        <v>1</v>
      </c>
    </row>
    <row r="440" spans="1:2">
      <c r="A440" s="6" t="s">
        <v>444</v>
      </c>
      <c r="B440">
        <v>1</v>
      </c>
    </row>
    <row r="441" spans="1:2">
      <c r="A441" s="6" t="s">
        <v>445</v>
      </c>
      <c r="B441">
        <v>1</v>
      </c>
    </row>
    <row r="442" spans="1:2">
      <c r="A442" s="6" t="s">
        <v>446</v>
      </c>
      <c r="B442">
        <v>2</v>
      </c>
    </row>
    <row r="443" spans="1:2">
      <c r="A443" s="6" t="s">
        <v>447</v>
      </c>
      <c r="B443">
        <v>1</v>
      </c>
    </row>
    <row r="444" spans="1:2">
      <c r="A444" s="6" t="s">
        <v>448</v>
      </c>
      <c r="B444">
        <v>1</v>
      </c>
    </row>
    <row r="445" spans="1:2">
      <c r="A445" s="6" t="s">
        <v>449</v>
      </c>
      <c r="B445">
        <v>1</v>
      </c>
    </row>
    <row r="446" spans="1:2">
      <c r="A446" s="6" t="s">
        <v>450</v>
      </c>
      <c r="B446">
        <v>1</v>
      </c>
    </row>
    <row r="447" spans="1:2">
      <c r="A447" s="6" t="s">
        <v>451</v>
      </c>
      <c r="B447">
        <v>2</v>
      </c>
    </row>
    <row r="448" spans="1:2">
      <c r="A448" s="6" t="s">
        <v>452</v>
      </c>
      <c r="B448">
        <v>1</v>
      </c>
    </row>
    <row r="449" spans="1:2">
      <c r="A449" s="6" t="s">
        <v>453</v>
      </c>
      <c r="B449">
        <v>1</v>
      </c>
    </row>
    <row r="450" spans="1:2">
      <c r="A450" s="6" t="s">
        <v>454</v>
      </c>
      <c r="B450">
        <v>1</v>
      </c>
    </row>
    <row r="451" spans="1:2">
      <c r="A451" s="6" t="s">
        <v>455</v>
      </c>
      <c r="B451">
        <v>1</v>
      </c>
    </row>
    <row r="452" spans="1:2">
      <c r="A452" s="6" t="s">
        <v>456</v>
      </c>
      <c r="B452">
        <v>1</v>
      </c>
    </row>
    <row r="453" spans="1:2">
      <c r="A453" s="6" t="s">
        <v>457</v>
      </c>
      <c r="B453">
        <v>1</v>
      </c>
    </row>
    <row r="454" spans="1:2">
      <c r="A454" s="6" t="s">
        <v>458</v>
      </c>
      <c r="B454">
        <v>1</v>
      </c>
    </row>
    <row r="455" spans="1:2">
      <c r="A455" s="6" t="s">
        <v>459</v>
      </c>
      <c r="B455">
        <v>1</v>
      </c>
    </row>
    <row r="456" spans="1:2">
      <c r="A456" s="6" t="s">
        <v>460</v>
      </c>
      <c r="B456">
        <v>1</v>
      </c>
    </row>
    <row r="457" spans="1:2">
      <c r="A457" s="6" t="s">
        <v>461</v>
      </c>
      <c r="B457">
        <v>1</v>
      </c>
    </row>
    <row r="458" spans="1:2">
      <c r="A458" s="6" t="s">
        <v>462</v>
      </c>
      <c r="B458">
        <v>1</v>
      </c>
    </row>
    <row r="459" spans="1:2">
      <c r="A459" s="6" t="s">
        <v>463</v>
      </c>
      <c r="B459">
        <v>2</v>
      </c>
    </row>
    <row r="460" spans="1:2">
      <c r="A460" s="6" t="s">
        <v>464</v>
      </c>
      <c r="B460">
        <v>1</v>
      </c>
    </row>
    <row r="461" spans="1:2">
      <c r="A461" s="6" t="s">
        <v>465</v>
      </c>
      <c r="B461">
        <v>2</v>
      </c>
    </row>
    <row r="462" spans="1:2">
      <c r="A462" s="6" t="s">
        <v>466</v>
      </c>
      <c r="B462">
        <v>1</v>
      </c>
    </row>
    <row r="463" spans="1:2">
      <c r="A463" s="6" t="s">
        <v>467</v>
      </c>
      <c r="B463">
        <v>1</v>
      </c>
    </row>
    <row r="464" spans="1:2">
      <c r="A464" s="6" t="s">
        <v>468</v>
      </c>
      <c r="B464">
        <v>1</v>
      </c>
    </row>
    <row r="465" spans="1:2">
      <c r="A465" s="6" t="s">
        <v>469</v>
      </c>
      <c r="B465">
        <v>1</v>
      </c>
    </row>
    <row r="466" spans="1:2">
      <c r="A466" s="6" t="s">
        <v>470</v>
      </c>
      <c r="B466">
        <v>1</v>
      </c>
    </row>
    <row r="467" spans="1:2">
      <c r="A467" s="6" t="s">
        <v>471</v>
      </c>
      <c r="B467">
        <v>1</v>
      </c>
    </row>
    <row r="468" spans="1:2">
      <c r="A468" s="6" t="s">
        <v>472</v>
      </c>
      <c r="B468">
        <v>1</v>
      </c>
    </row>
    <row r="469" spans="1:2">
      <c r="A469" s="6" t="s">
        <v>473</v>
      </c>
      <c r="B469">
        <v>1</v>
      </c>
    </row>
    <row r="470" spans="1:2">
      <c r="A470" s="6" t="s">
        <v>474</v>
      </c>
      <c r="B470">
        <v>1</v>
      </c>
    </row>
    <row r="471" spans="1:2">
      <c r="A471" s="6" t="s">
        <v>475</v>
      </c>
      <c r="B471">
        <v>1</v>
      </c>
    </row>
    <row r="472" spans="1:2">
      <c r="A472" s="6" t="s">
        <v>476</v>
      </c>
      <c r="B472">
        <v>1</v>
      </c>
    </row>
    <row r="473" spans="1:2">
      <c r="A473" s="6" t="s">
        <v>477</v>
      </c>
      <c r="B473">
        <v>1</v>
      </c>
    </row>
    <row r="474" spans="1:2">
      <c r="A474" s="6" t="s">
        <v>478</v>
      </c>
      <c r="B474">
        <v>2</v>
      </c>
    </row>
    <row r="475" spans="1:2">
      <c r="A475" s="6" t="s">
        <v>479</v>
      </c>
      <c r="B475">
        <v>1</v>
      </c>
    </row>
    <row r="476" spans="1:2">
      <c r="A476" s="6" t="s">
        <v>480</v>
      </c>
      <c r="B476">
        <v>2</v>
      </c>
    </row>
    <row r="477" spans="1:2">
      <c r="A477" s="6" t="s">
        <v>481</v>
      </c>
      <c r="B477">
        <v>1</v>
      </c>
    </row>
    <row r="478" spans="1:2">
      <c r="A478" s="6" t="s">
        <v>482</v>
      </c>
      <c r="B478">
        <v>2</v>
      </c>
    </row>
    <row r="479" spans="1:2">
      <c r="A479" s="6" t="s">
        <v>483</v>
      </c>
      <c r="B479">
        <v>1</v>
      </c>
    </row>
    <row r="480" spans="1:2">
      <c r="A480" s="6" t="s">
        <v>484</v>
      </c>
      <c r="B480">
        <v>1</v>
      </c>
    </row>
    <row r="481" spans="1:2">
      <c r="A481" s="6" t="s">
        <v>485</v>
      </c>
      <c r="B481">
        <v>1</v>
      </c>
    </row>
    <row r="482" spans="1:2">
      <c r="A482" s="6" t="s">
        <v>486</v>
      </c>
      <c r="B482">
        <v>1</v>
      </c>
    </row>
    <row r="483" spans="1:2">
      <c r="A483" s="6" t="s">
        <v>487</v>
      </c>
      <c r="B483">
        <v>2</v>
      </c>
    </row>
    <row r="484" spans="1:2">
      <c r="A484" s="6" t="s">
        <v>488</v>
      </c>
      <c r="B484">
        <v>2</v>
      </c>
    </row>
    <row r="485" spans="1:2">
      <c r="A485" s="6" t="s">
        <v>489</v>
      </c>
      <c r="B485">
        <v>2</v>
      </c>
    </row>
    <row r="486" spans="1:2">
      <c r="A486" s="6" t="s">
        <v>490</v>
      </c>
      <c r="B486">
        <v>1</v>
      </c>
    </row>
    <row r="487" spans="1:2">
      <c r="A487" s="6" t="s">
        <v>491</v>
      </c>
      <c r="B487">
        <v>2</v>
      </c>
    </row>
    <row r="488" spans="1:2">
      <c r="A488" s="6" t="s">
        <v>492</v>
      </c>
      <c r="B488">
        <v>1</v>
      </c>
    </row>
    <row r="489" spans="1:2">
      <c r="A489" s="6" t="s">
        <v>493</v>
      </c>
      <c r="B489">
        <v>1</v>
      </c>
    </row>
    <row r="490" spans="1:2">
      <c r="A490" s="6" t="s">
        <v>494</v>
      </c>
      <c r="B490">
        <v>1</v>
      </c>
    </row>
    <row r="491" spans="1:2">
      <c r="A491" s="6" t="s">
        <v>495</v>
      </c>
      <c r="B491">
        <v>1</v>
      </c>
    </row>
    <row r="492" spans="1:2">
      <c r="A492" s="6" t="s">
        <v>496</v>
      </c>
      <c r="B492">
        <v>1</v>
      </c>
    </row>
    <row r="493" spans="1:2">
      <c r="A493" s="6" t="s">
        <v>497</v>
      </c>
      <c r="B493">
        <v>2</v>
      </c>
    </row>
    <row r="494" spans="1:2">
      <c r="A494" s="6" t="s">
        <v>498</v>
      </c>
      <c r="B494">
        <v>2</v>
      </c>
    </row>
    <row r="495" spans="1:2">
      <c r="A495" s="6" t="s">
        <v>499</v>
      </c>
      <c r="B495">
        <v>1</v>
      </c>
    </row>
    <row r="496" spans="1:2">
      <c r="A496" s="6" t="s">
        <v>500</v>
      </c>
      <c r="B496">
        <v>1</v>
      </c>
    </row>
    <row r="497" spans="1:2">
      <c r="A497" s="6" t="s">
        <v>501</v>
      </c>
      <c r="B497">
        <v>1</v>
      </c>
    </row>
    <row r="498" spans="1:2">
      <c r="A498" s="6" t="s">
        <v>502</v>
      </c>
      <c r="B498">
        <v>2</v>
      </c>
    </row>
    <row r="499" spans="1:2">
      <c r="A499" s="6" t="s">
        <v>503</v>
      </c>
      <c r="B499">
        <v>2</v>
      </c>
    </row>
    <row r="500" spans="1:2">
      <c r="A500" s="6" t="s">
        <v>504</v>
      </c>
      <c r="B500">
        <v>1</v>
      </c>
    </row>
    <row r="501" spans="1:2">
      <c r="A501" s="6" t="s">
        <v>505</v>
      </c>
      <c r="B501">
        <v>1</v>
      </c>
    </row>
    <row r="502" spans="1:2">
      <c r="A502" s="6" t="s">
        <v>506</v>
      </c>
      <c r="B502">
        <v>1</v>
      </c>
    </row>
    <row r="503" spans="1:2">
      <c r="A503" s="6" t="s">
        <v>507</v>
      </c>
      <c r="B503">
        <v>2</v>
      </c>
    </row>
    <row r="504" spans="1:2">
      <c r="A504" s="6" t="s">
        <v>508</v>
      </c>
      <c r="B504">
        <v>1</v>
      </c>
    </row>
    <row r="505" spans="1:2">
      <c r="A505" s="6" t="s">
        <v>509</v>
      </c>
      <c r="B505">
        <v>1</v>
      </c>
    </row>
    <row r="506" spans="1:2">
      <c r="A506" s="6" t="s">
        <v>510</v>
      </c>
      <c r="B506">
        <v>2</v>
      </c>
    </row>
    <row r="507" spans="1:2">
      <c r="A507" s="6" t="s">
        <v>511</v>
      </c>
      <c r="B507">
        <v>1</v>
      </c>
    </row>
    <row r="508" spans="1:2">
      <c r="A508" s="6" t="s">
        <v>512</v>
      </c>
      <c r="B508">
        <v>1</v>
      </c>
    </row>
    <row r="509" spans="1:2">
      <c r="A509" s="6" t="s">
        <v>513</v>
      </c>
      <c r="B509">
        <v>2</v>
      </c>
    </row>
    <row r="510" spans="1:2">
      <c r="A510" s="6" t="s">
        <v>514</v>
      </c>
      <c r="B510">
        <v>1</v>
      </c>
    </row>
    <row r="511" spans="1:2">
      <c r="A511" s="6" t="s">
        <v>515</v>
      </c>
      <c r="B511">
        <v>1</v>
      </c>
    </row>
    <row r="512" spans="1:2">
      <c r="A512" s="6" t="s">
        <v>516</v>
      </c>
      <c r="B512">
        <v>1</v>
      </c>
    </row>
    <row r="513" spans="1:2">
      <c r="A513" s="6" t="s">
        <v>517</v>
      </c>
      <c r="B513">
        <v>2</v>
      </c>
    </row>
    <row r="514" spans="1:2">
      <c r="A514" s="6" t="s">
        <v>518</v>
      </c>
      <c r="B514">
        <v>1</v>
      </c>
    </row>
    <row r="515" spans="1:2">
      <c r="A515" s="6" t="s">
        <v>519</v>
      </c>
      <c r="B515">
        <v>1</v>
      </c>
    </row>
    <row r="516" spans="1:2">
      <c r="A516" s="6" t="s">
        <v>520</v>
      </c>
      <c r="B516">
        <v>1</v>
      </c>
    </row>
    <row r="517" spans="1:2">
      <c r="A517" s="6" t="s">
        <v>521</v>
      </c>
      <c r="B517">
        <v>1</v>
      </c>
    </row>
    <row r="518" spans="1:2">
      <c r="A518" s="6" t="s">
        <v>522</v>
      </c>
      <c r="B518">
        <v>2</v>
      </c>
    </row>
    <row r="519" spans="1:2">
      <c r="A519" s="6" t="s">
        <v>523</v>
      </c>
      <c r="B519">
        <v>1</v>
      </c>
    </row>
    <row r="520" spans="1:2">
      <c r="A520" s="6" t="s">
        <v>524</v>
      </c>
      <c r="B520">
        <v>1</v>
      </c>
    </row>
    <row r="521" spans="1:2">
      <c r="A521" s="6" t="s">
        <v>525</v>
      </c>
      <c r="B521">
        <v>1</v>
      </c>
    </row>
    <row r="522" spans="1:2">
      <c r="A522" s="6" t="s">
        <v>526</v>
      </c>
      <c r="B522">
        <v>1</v>
      </c>
    </row>
    <row r="523" spans="1:2">
      <c r="A523" s="6" t="s">
        <v>527</v>
      </c>
      <c r="B523">
        <v>2</v>
      </c>
    </row>
    <row r="524" spans="1:2">
      <c r="A524" s="6" t="s">
        <v>528</v>
      </c>
      <c r="B524">
        <v>1</v>
      </c>
    </row>
    <row r="525" spans="1:2">
      <c r="A525" s="6" t="s">
        <v>529</v>
      </c>
      <c r="B525">
        <v>1</v>
      </c>
    </row>
    <row r="526" spans="1:2">
      <c r="A526" s="6" t="s">
        <v>530</v>
      </c>
      <c r="B526">
        <v>1</v>
      </c>
    </row>
    <row r="527" spans="1:2">
      <c r="A527" s="6" t="s">
        <v>531</v>
      </c>
      <c r="B527">
        <v>1</v>
      </c>
    </row>
    <row r="528" spans="1:2">
      <c r="A528" s="6" t="s">
        <v>532</v>
      </c>
      <c r="B528">
        <v>1</v>
      </c>
    </row>
    <row r="529" spans="1:2">
      <c r="A529" s="6" t="s">
        <v>533</v>
      </c>
      <c r="B529">
        <v>1</v>
      </c>
    </row>
    <row r="530" spans="1:2">
      <c r="A530" s="6" t="s">
        <v>534</v>
      </c>
      <c r="B530">
        <v>2</v>
      </c>
    </row>
    <row r="531" spans="1:2">
      <c r="A531" s="6" t="s">
        <v>535</v>
      </c>
      <c r="B531">
        <v>1</v>
      </c>
    </row>
    <row r="532" spans="1:2">
      <c r="A532" s="6" t="s">
        <v>536</v>
      </c>
      <c r="B532">
        <v>2</v>
      </c>
    </row>
    <row r="533" spans="1:2">
      <c r="A533" s="6" t="s">
        <v>537</v>
      </c>
      <c r="B533">
        <v>1</v>
      </c>
    </row>
    <row r="534" spans="1:2">
      <c r="A534" s="6" t="s">
        <v>538</v>
      </c>
      <c r="B534">
        <v>2</v>
      </c>
    </row>
    <row r="535" spans="1:2">
      <c r="A535" s="6" t="s">
        <v>539</v>
      </c>
      <c r="B535">
        <v>2</v>
      </c>
    </row>
    <row r="536" spans="1:2">
      <c r="A536" s="6" t="s">
        <v>540</v>
      </c>
      <c r="B536">
        <v>2</v>
      </c>
    </row>
    <row r="537" spans="1:2">
      <c r="A537" s="6" t="s">
        <v>541</v>
      </c>
      <c r="B537">
        <v>1</v>
      </c>
    </row>
    <row r="538" spans="1:2">
      <c r="A538" s="6" t="s">
        <v>542</v>
      </c>
      <c r="B538">
        <v>1</v>
      </c>
    </row>
    <row r="539" spans="1:2">
      <c r="A539" s="6" t="s">
        <v>543</v>
      </c>
      <c r="B539">
        <v>2</v>
      </c>
    </row>
    <row r="540" spans="1:2">
      <c r="A540" s="6" t="s">
        <v>544</v>
      </c>
      <c r="B540">
        <v>1</v>
      </c>
    </row>
    <row r="541" spans="1:2">
      <c r="A541" s="6" t="s">
        <v>545</v>
      </c>
      <c r="B541">
        <v>2</v>
      </c>
    </row>
    <row r="542" spans="1:2">
      <c r="A542" s="6" t="s">
        <v>546</v>
      </c>
      <c r="B542">
        <v>2</v>
      </c>
    </row>
    <row r="543" spans="1:2">
      <c r="A543" s="6" t="s">
        <v>547</v>
      </c>
      <c r="B543">
        <v>1</v>
      </c>
    </row>
    <row r="544" spans="1:2">
      <c r="A544" s="6" t="s">
        <v>548</v>
      </c>
      <c r="B544">
        <v>1</v>
      </c>
    </row>
    <row r="545" spans="1:2">
      <c r="A545" s="6" t="s">
        <v>549</v>
      </c>
      <c r="B545">
        <v>1</v>
      </c>
    </row>
    <row r="546" spans="1:2">
      <c r="A546" s="6" t="s">
        <v>550</v>
      </c>
      <c r="B546">
        <v>2</v>
      </c>
    </row>
    <row r="547" spans="1:2">
      <c r="A547" s="6" t="s">
        <v>551</v>
      </c>
      <c r="B547">
        <v>1</v>
      </c>
    </row>
    <row r="548" spans="1:2">
      <c r="A548" s="6" t="s">
        <v>552</v>
      </c>
      <c r="B548">
        <v>1</v>
      </c>
    </row>
    <row r="549" spans="1:2">
      <c r="A549" s="6" t="s">
        <v>553</v>
      </c>
      <c r="B549">
        <v>1</v>
      </c>
    </row>
    <row r="550" spans="1:2">
      <c r="A550" s="6" t="s">
        <v>554</v>
      </c>
      <c r="B550">
        <v>2</v>
      </c>
    </row>
    <row r="551" spans="1:2">
      <c r="A551" s="6" t="s">
        <v>555</v>
      </c>
      <c r="B551">
        <v>1</v>
      </c>
    </row>
    <row r="552" spans="1:2">
      <c r="A552" s="6" t="s">
        <v>556</v>
      </c>
      <c r="B552">
        <v>1</v>
      </c>
    </row>
    <row r="553" spans="1:2">
      <c r="A553" s="6" t="s">
        <v>557</v>
      </c>
      <c r="B553">
        <v>2</v>
      </c>
    </row>
    <row r="554" spans="1:2">
      <c r="A554" s="6" t="s">
        <v>558</v>
      </c>
      <c r="B554">
        <v>1</v>
      </c>
    </row>
    <row r="555" spans="1:2">
      <c r="A555" s="6" t="s">
        <v>559</v>
      </c>
      <c r="B555">
        <v>1</v>
      </c>
    </row>
    <row r="556" spans="1:2">
      <c r="A556" s="6" t="s">
        <v>560</v>
      </c>
      <c r="B556">
        <v>1</v>
      </c>
    </row>
    <row r="557" spans="1:2">
      <c r="A557" s="6" t="s">
        <v>561</v>
      </c>
      <c r="B557">
        <v>2</v>
      </c>
    </row>
    <row r="558" spans="1:2">
      <c r="A558" s="6" t="s">
        <v>562</v>
      </c>
      <c r="B558">
        <v>2</v>
      </c>
    </row>
    <row r="559" spans="1:2">
      <c r="A559" s="6" t="s">
        <v>563</v>
      </c>
      <c r="B559">
        <v>2</v>
      </c>
    </row>
    <row r="560" spans="1:2">
      <c r="A560" s="6" t="s">
        <v>564</v>
      </c>
      <c r="B560">
        <v>1</v>
      </c>
    </row>
    <row r="561" spans="1:2">
      <c r="A561" s="6" t="s">
        <v>565</v>
      </c>
      <c r="B561">
        <v>1</v>
      </c>
    </row>
    <row r="562" spans="1:2">
      <c r="A562" s="6" t="s">
        <v>566</v>
      </c>
      <c r="B562">
        <v>2</v>
      </c>
    </row>
    <row r="563" spans="1:2">
      <c r="A563" s="6" t="s">
        <v>567</v>
      </c>
      <c r="B563">
        <v>1</v>
      </c>
    </row>
    <row r="564" spans="1:2">
      <c r="A564" s="6" t="s">
        <v>568</v>
      </c>
      <c r="B564">
        <v>1</v>
      </c>
    </row>
    <row r="565" spans="1:2">
      <c r="A565" s="6" t="s">
        <v>569</v>
      </c>
      <c r="B565">
        <v>1</v>
      </c>
    </row>
    <row r="566" spans="1:2">
      <c r="A566" s="6" t="s">
        <v>570</v>
      </c>
      <c r="B566">
        <v>1</v>
      </c>
    </row>
    <row r="567" spans="1:2">
      <c r="A567" s="6" t="s">
        <v>571</v>
      </c>
      <c r="B567">
        <v>1</v>
      </c>
    </row>
    <row r="568" spans="1:2">
      <c r="A568" s="6" t="s">
        <v>572</v>
      </c>
      <c r="B568">
        <v>1</v>
      </c>
    </row>
    <row r="569" spans="1:2">
      <c r="A569" s="6" t="s">
        <v>573</v>
      </c>
      <c r="B569">
        <v>1</v>
      </c>
    </row>
    <row r="570" spans="1:2">
      <c r="A570" s="6" t="s">
        <v>574</v>
      </c>
      <c r="B570">
        <v>1</v>
      </c>
    </row>
    <row r="571" spans="1:2">
      <c r="A571" s="6" t="s">
        <v>575</v>
      </c>
      <c r="B571">
        <v>1</v>
      </c>
    </row>
    <row r="572" spans="1:2">
      <c r="A572" s="6" t="s">
        <v>576</v>
      </c>
      <c r="B572">
        <v>2</v>
      </c>
    </row>
    <row r="573" spans="1:2">
      <c r="A573" s="6" t="s">
        <v>577</v>
      </c>
      <c r="B573">
        <v>2</v>
      </c>
    </row>
    <row r="574" spans="1:2">
      <c r="A574" s="6" t="s">
        <v>578</v>
      </c>
      <c r="B574">
        <v>1</v>
      </c>
    </row>
    <row r="575" spans="1:2">
      <c r="A575" s="6" t="s">
        <v>579</v>
      </c>
      <c r="B575">
        <v>1</v>
      </c>
    </row>
    <row r="576" spans="1:2">
      <c r="A576" s="6" t="s">
        <v>580</v>
      </c>
      <c r="B576">
        <v>2</v>
      </c>
    </row>
    <row r="577" spans="1:2">
      <c r="A577" s="6" t="s">
        <v>581</v>
      </c>
      <c r="B577">
        <v>1</v>
      </c>
    </row>
    <row r="578" spans="1:2">
      <c r="A578" s="6" t="s">
        <v>582</v>
      </c>
      <c r="B578">
        <v>2</v>
      </c>
    </row>
    <row r="579" spans="1:2">
      <c r="A579" s="6" t="s">
        <v>583</v>
      </c>
      <c r="B579">
        <v>1</v>
      </c>
    </row>
    <row r="580" spans="1:2">
      <c r="A580" s="6" t="s">
        <v>584</v>
      </c>
      <c r="B580">
        <v>1</v>
      </c>
    </row>
    <row r="581" spans="1:2">
      <c r="A581" s="6" t="s">
        <v>585</v>
      </c>
      <c r="B581">
        <v>1</v>
      </c>
    </row>
    <row r="582" spans="1:2">
      <c r="A582" s="6" t="s">
        <v>586</v>
      </c>
      <c r="B582">
        <v>1</v>
      </c>
    </row>
    <row r="583" spans="1:2">
      <c r="A583" s="6" t="s">
        <v>587</v>
      </c>
      <c r="B583">
        <v>1</v>
      </c>
    </row>
    <row r="584" spans="1:2">
      <c r="A584" s="6" t="s">
        <v>588</v>
      </c>
      <c r="B584">
        <v>1</v>
      </c>
    </row>
    <row r="585" spans="1:2">
      <c r="A585" s="6" t="s">
        <v>589</v>
      </c>
      <c r="B585">
        <v>1</v>
      </c>
    </row>
    <row r="586" spans="1:2">
      <c r="A586" s="6" t="s">
        <v>590</v>
      </c>
      <c r="B586">
        <v>1</v>
      </c>
    </row>
    <row r="587" spans="1:2">
      <c r="A587" s="6" t="s">
        <v>591</v>
      </c>
      <c r="B587">
        <v>1</v>
      </c>
    </row>
    <row r="588" spans="1:2">
      <c r="A588" s="6" t="s">
        <v>592</v>
      </c>
      <c r="B588">
        <v>1</v>
      </c>
    </row>
    <row r="589" spans="1:2">
      <c r="A589" s="6" t="s">
        <v>593</v>
      </c>
      <c r="B589">
        <v>1</v>
      </c>
    </row>
    <row r="590" spans="1:2">
      <c r="A590" s="6" t="s">
        <v>594</v>
      </c>
      <c r="B590">
        <v>1</v>
      </c>
    </row>
    <row r="591" spans="1:2">
      <c r="A591" s="6" t="s">
        <v>595</v>
      </c>
      <c r="B591">
        <v>1</v>
      </c>
    </row>
    <row r="592" spans="1:2">
      <c r="A592" s="6" t="s">
        <v>596</v>
      </c>
      <c r="B592">
        <v>1</v>
      </c>
    </row>
    <row r="593" spans="1:2">
      <c r="A593" s="6" t="s">
        <v>597</v>
      </c>
      <c r="B593">
        <v>2</v>
      </c>
    </row>
    <row r="594" spans="1:2">
      <c r="A594" s="6" t="s">
        <v>598</v>
      </c>
      <c r="B594">
        <v>1</v>
      </c>
    </row>
    <row r="595" spans="1:2">
      <c r="A595" s="6" t="s">
        <v>599</v>
      </c>
      <c r="B595">
        <v>1</v>
      </c>
    </row>
    <row r="596" spans="1:2">
      <c r="A596" s="6" t="s">
        <v>600</v>
      </c>
      <c r="B596">
        <v>1</v>
      </c>
    </row>
    <row r="597" spans="1:2">
      <c r="A597" s="6" t="s">
        <v>601</v>
      </c>
      <c r="B597">
        <v>1</v>
      </c>
    </row>
    <row r="598" spans="1:2">
      <c r="A598" s="6" t="s">
        <v>602</v>
      </c>
      <c r="B598">
        <v>1</v>
      </c>
    </row>
    <row r="599" spans="1:2">
      <c r="A599" s="6" t="s">
        <v>603</v>
      </c>
      <c r="B599">
        <v>1</v>
      </c>
    </row>
    <row r="600" spans="1:2">
      <c r="A600" s="6" t="s">
        <v>604</v>
      </c>
      <c r="B600">
        <v>1</v>
      </c>
    </row>
    <row r="601" spans="1:2">
      <c r="A601" s="6" t="s">
        <v>605</v>
      </c>
      <c r="B601">
        <v>1</v>
      </c>
    </row>
    <row r="602" spans="1:2">
      <c r="A602" s="6" t="s">
        <v>606</v>
      </c>
      <c r="B602">
        <v>1</v>
      </c>
    </row>
    <row r="603" spans="1:2">
      <c r="A603" s="6" t="s">
        <v>607</v>
      </c>
      <c r="B603">
        <v>1</v>
      </c>
    </row>
    <row r="604" spans="1:2">
      <c r="A604" s="6" t="s">
        <v>608</v>
      </c>
      <c r="B604">
        <v>1</v>
      </c>
    </row>
    <row r="605" spans="1:2">
      <c r="A605" s="6" t="s">
        <v>609</v>
      </c>
      <c r="B605">
        <v>1</v>
      </c>
    </row>
    <row r="606" spans="1:2">
      <c r="A606" s="6" t="s">
        <v>610</v>
      </c>
      <c r="B606">
        <v>2</v>
      </c>
    </row>
    <row r="607" spans="1:2">
      <c r="A607" s="6" t="s">
        <v>611</v>
      </c>
      <c r="B607">
        <v>1</v>
      </c>
    </row>
    <row r="608" spans="1:2">
      <c r="A608" s="6" t="s">
        <v>612</v>
      </c>
      <c r="B608">
        <v>1</v>
      </c>
    </row>
    <row r="609" spans="1:2">
      <c r="A609" s="6" t="s">
        <v>613</v>
      </c>
      <c r="B609">
        <v>2</v>
      </c>
    </row>
    <row r="610" spans="1:2">
      <c r="A610" s="6" t="s">
        <v>614</v>
      </c>
      <c r="B610">
        <v>1</v>
      </c>
    </row>
    <row r="611" spans="1:2">
      <c r="A611" s="6" t="s">
        <v>615</v>
      </c>
      <c r="B611">
        <v>1</v>
      </c>
    </row>
    <row r="612" spans="1:2">
      <c r="A612" s="6" t="s">
        <v>616</v>
      </c>
      <c r="B612">
        <v>1</v>
      </c>
    </row>
    <row r="613" spans="1:2">
      <c r="A613" s="6" t="s">
        <v>617</v>
      </c>
      <c r="B613">
        <v>1</v>
      </c>
    </row>
    <row r="614" spans="1:2">
      <c r="A614" s="6" t="s">
        <v>618</v>
      </c>
      <c r="B614">
        <v>1</v>
      </c>
    </row>
    <row r="615" spans="1:2">
      <c r="A615" s="6" t="s">
        <v>619</v>
      </c>
      <c r="B615">
        <v>1</v>
      </c>
    </row>
    <row r="616" spans="1:2">
      <c r="A616" s="6" t="s">
        <v>620</v>
      </c>
      <c r="B616">
        <v>1</v>
      </c>
    </row>
    <row r="617" spans="1:2">
      <c r="A617" s="6" t="s">
        <v>621</v>
      </c>
      <c r="B617">
        <v>2</v>
      </c>
    </row>
    <row r="618" spans="1:2">
      <c r="A618" s="6" t="s">
        <v>622</v>
      </c>
      <c r="B618">
        <v>1</v>
      </c>
    </row>
    <row r="619" spans="1:2">
      <c r="A619" s="6" t="s">
        <v>623</v>
      </c>
      <c r="B619">
        <v>1</v>
      </c>
    </row>
    <row r="620" spans="1:2">
      <c r="A620" s="6" t="s">
        <v>624</v>
      </c>
      <c r="B620">
        <v>2</v>
      </c>
    </row>
    <row r="621" spans="1:2">
      <c r="A621" s="6" t="s">
        <v>625</v>
      </c>
      <c r="B621">
        <v>2</v>
      </c>
    </row>
    <row r="622" spans="1:2">
      <c r="A622" s="6" t="s">
        <v>626</v>
      </c>
      <c r="B622">
        <v>1</v>
      </c>
    </row>
    <row r="623" spans="1:2">
      <c r="A623" s="6" t="s">
        <v>627</v>
      </c>
      <c r="B623">
        <v>1</v>
      </c>
    </row>
    <row r="624" spans="1:2">
      <c r="A624" s="6" t="s">
        <v>628</v>
      </c>
      <c r="B624">
        <v>1</v>
      </c>
    </row>
    <row r="625" spans="1:2">
      <c r="A625" s="6" t="s">
        <v>629</v>
      </c>
      <c r="B625">
        <v>1</v>
      </c>
    </row>
    <row r="626" spans="1:2">
      <c r="A626" s="6" t="s">
        <v>630</v>
      </c>
      <c r="B626">
        <v>1</v>
      </c>
    </row>
    <row r="627" spans="1:2">
      <c r="A627" s="6" t="s">
        <v>631</v>
      </c>
      <c r="B627">
        <v>1</v>
      </c>
    </row>
    <row r="628" spans="1:2">
      <c r="A628" s="6" t="s">
        <v>632</v>
      </c>
      <c r="B628">
        <v>1</v>
      </c>
    </row>
    <row r="629" spans="1:2">
      <c r="A629" s="6" t="s">
        <v>633</v>
      </c>
      <c r="B629">
        <v>1</v>
      </c>
    </row>
    <row r="630" spans="1:2">
      <c r="A630" s="6" t="s">
        <v>634</v>
      </c>
      <c r="B630">
        <v>1</v>
      </c>
    </row>
    <row r="631" spans="1:2">
      <c r="A631" s="6" t="s">
        <v>635</v>
      </c>
      <c r="B631">
        <v>1</v>
      </c>
    </row>
    <row r="632" spans="1:2">
      <c r="A632" s="6" t="s">
        <v>636</v>
      </c>
      <c r="B632">
        <v>2</v>
      </c>
    </row>
    <row r="633" spans="1:2">
      <c r="A633" s="6" t="s">
        <v>637</v>
      </c>
      <c r="B633">
        <v>1</v>
      </c>
    </row>
    <row r="634" spans="1:2">
      <c r="A634" s="6" t="s">
        <v>638</v>
      </c>
      <c r="B634">
        <v>1</v>
      </c>
    </row>
    <row r="635" spans="1:2">
      <c r="A635" s="6" t="s">
        <v>639</v>
      </c>
      <c r="B635">
        <v>1</v>
      </c>
    </row>
    <row r="636" spans="1:2">
      <c r="A636" s="6" t="s">
        <v>640</v>
      </c>
      <c r="B636">
        <v>1</v>
      </c>
    </row>
    <row r="637" spans="1:2">
      <c r="A637" s="6" t="s">
        <v>641</v>
      </c>
      <c r="B637">
        <v>2</v>
      </c>
    </row>
    <row r="638" spans="1:2">
      <c r="A638" s="6" t="s">
        <v>642</v>
      </c>
      <c r="B638">
        <v>1</v>
      </c>
    </row>
    <row r="639" spans="1:2">
      <c r="A639" s="6" t="s">
        <v>643</v>
      </c>
      <c r="B639">
        <v>1</v>
      </c>
    </row>
    <row r="640" spans="1:2">
      <c r="A640" s="6" t="s">
        <v>644</v>
      </c>
      <c r="B640">
        <v>1</v>
      </c>
    </row>
    <row r="641" spans="1:2">
      <c r="A641" s="6" t="s">
        <v>645</v>
      </c>
      <c r="B641">
        <v>2</v>
      </c>
    </row>
    <row r="642" spans="1:2">
      <c r="A642" s="6" t="s">
        <v>646</v>
      </c>
      <c r="B642">
        <v>1</v>
      </c>
    </row>
    <row r="643" spans="1:2">
      <c r="A643" s="6" t="s">
        <v>647</v>
      </c>
      <c r="B643">
        <v>2</v>
      </c>
    </row>
    <row r="644" spans="1:2">
      <c r="A644" s="6" t="s">
        <v>648</v>
      </c>
      <c r="B644">
        <v>1</v>
      </c>
    </row>
    <row r="645" spans="1:2">
      <c r="A645" s="6" t="s">
        <v>649</v>
      </c>
      <c r="B645">
        <v>1</v>
      </c>
    </row>
    <row r="646" spans="1:2">
      <c r="A646" s="6" t="s">
        <v>650</v>
      </c>
      <c r="B646">
        <v>1</v>
      </c>
    </row>
    <row r="647" spans="1:2">
      <c r="A647" s="6" t="s">
        <v>651</v>
      </c>
      <c r="B647">
        <v>2</v>
      </c>
    </row>
    <row r="648" spans="1:2">
      <c r="A648" s="6" t="s">
        <v>652</v>
      </c>
      <c r="B648">
        <v>1</v>
      </c>
    </row>
    <row r="649" spans="1:2">
      <c r="A649" s="6" t="s">
        <v>653</v>
      </c>
      <c r="B649">
        <v>2</v>
      </c>
    </row>
    <row r="650" spans="1:2">
      <c r="A650" s="6" t="s">
        <v>654</v>
      </c>
      <c r="B650">
        <v>2</v>
      </c>
    </row>
    <row r="651" spans="1:2">
      <c r="A651" s="6" t="s">
        <v>655</v>
      </c>
      <c r="B651">
        <v>1</v>
      </c>
    </row>
    <row r="652" spans="1:2">
      <c r="A652" s="6" t="s">
        <v>656</v>
      </c>
      <c r="B652">
        <v>2</v>
      </c>
    </row>
    <row r="653" spans="1:2">
      <c r="A653" s="6" t="s">
        <v>657</v>
      </c>
      <c r="B653">
        <v>1</v>
      </c>
    </row>
    <row r="654" spans="1:2">
      <c r="A654" s="6" t="s">
        <v>658</v>
      </c>
      <c r="B654">
        <v>1</v>
      </c>
    </row>
    <row r="655" spans="1:2">
      <c r="A655" s="6" t="s">
        <v>659</v>
      </c>
      <c r="B655">
        <v>1</v>
      </c>
    </row>
    <row r="656" spans="1:2">
      <c r="A656" s="6" t="s">
        <v>660</v>
      </c>
      <c r="B656">
        <v>1</v>
      </c>
    </row>
    <row r="657" spans="1:2">
      <c r="A657" s="6" t="s">
        <v>661</v>
      </c>
      <c r="B657">
        <v>1</v>
      </c>
    </row>
    <row r="658" spans="1:2">
      <c r="A658" s="6" t="s">
        <v>662</v>
      </c>
      <c r="B658">
        <v>1</v>
      </c>
    </row>
    <row r="659" spans="1:2">
      <c r="A659" s="6" t="s">
        <v>663</v>
      </c>
      <c r="B659">
        <v>1</v>
      </c>
    </row>
    <row r="660" spans="1:2">
      <c r="A660" s="6" t="s">
        <v>664</v>
      </c>
      <c r="B660">
        <v>1</v>
      </c>
    </row>
    <row r="661" spans="1:2">
      <c r="A661" s="6" t="s">
        <v>665</v>
      </c>
      <c r="B661">
        <v>1</v>
      </c>
    </row>
    <row r="662" spans="1:2">
      <c r="A662" s="6" t="s">
        <v>666</v>
      </c>
      <c r="B662">
        <v>1</v>
      </c>
    </row>
    <row r="663" spans="1:2">
      <c r="A663" s="6" t="s">
        <v>667</v>
      </c>
      <c r="B663">
        <v>1</v>
      </c>
    </row>
    <row r="664" spans="1:2">
      <c r="A664" s="6" t="s">
        <v>668</v>
      </c>
      <c r="B664">
        <v>1</v>
      </c>
    </row>
    <row r="665" spans="1:2">
      <c r="A665" s="6" t="s">
        <v>669</v>
      </c>
      <c r="B665">
        <v>2</v>
      </c>
    </row>
    <row r="666" spans="1:2">
      <c r="A666" s="6" t="s">
        <v>670</v>
      </c>
      <c r="B666">
        <v>2</v>
      </c>
    </row>
    <row r="667" spans="1:2">
      <c r="A667" s="6" t="s">
        <v>671</v>
      </c>
      <c r="B667">
        <v>2</v>
      </c>
    </row>
    <row r="668" spans="1:2">
      <c r="A668" s="6" t="s">
        <v>672</v>
      </c>
      <c r="B668">
        <v>1</v>
      </c>
    </row>
    <row r="669" spans="1:2">
      <c r="A669" s="6" t="s">
        <v>673</v>
      </c>
      <c r="B669">
        <v>2</v>
      </c>
    </row>
    <row r="670" spans="1:2">
      <c r="A670" s="6" t="s">
        <v>674</v>
      </c>
      <c r="B670">
        <v>1</v>
      </c>
    </row>
    <row r="671" spans="1:2">
      <c r="A671" s="6" t="s">
        <v>675</v>
      </c>
      <c r="B671">
        <v>2</v>
      </c>
    </row>
    <row r="672" spans="1:2">
      <c r="A672" s="6" t="s">
        <v>676</v>
      </c>
      <c r="B672">
        <v>2</v>
      </c>
    </row>
    <row r="673" spans="1:2">
      <c r="A673" s="6" t="s">
        <v>677</v>
      </c>
      <c r="B673">
        <v>1</v>
      </c>
    </row>
    <row r="674" spans="1:2">
      <c r="A674" s="6" t="s">
        <v>678</v>
      </c>
      <c r="B674">
        <v>2</v>
      </c>
    </row>
    <row r="675" spans="1:2">
      <c r="A675" s="6" t="s">
        <v>679</v>
      </c>
      <c r="B675">
        <v>1</v>
      </c>
    </row>
    <row r="676" spans="1:2">
      <c r="A676" s="6" t="s">
        <v>680</v>
      </c>
      <c r="B676">
        <v>1</v>
      </c>
    </row>
    <row r="677" spans="1:2">
      <c r="A677" s="6" t="s">
        <v>681</v>
      </c>
      <c r="B677">
        <v>1</v>
      </c>
    </row>
    <row r="678" spans="1:2">
      <c r="A678" s="6" t="s">
        <v>682</v>
      </c>
      <c r="B678">
        <v>1</v>
      </c>
    </row>
    <row r="679" spans="1:2">
      <c r="A679" s="6" t="s">
        <v>683</v>
      </c>
      <c r="B679">
        <v>2</v>
      </c>
    </row>
    <row r="680" spans="1:2">
      <c r="A680" s="6" t="s">
        <v>684</v>
      </c>
      <c r="B680">
        <v>1</v>
      </c>
    </row>
    <row r="681" spans="1:2">
      <c r="A681" s="6" t="s">
        <v>685</v>
      </c>
      <c r="B681">
        <v>1</v>
      </c>
    </row>
    <row r="682" spans="1:2">
      <c r="A682" s="6" t="s">
        <v>686</v>
      </c>
      <c r="B682">
        <v>2</v>
      </c>
    </row>
    <row r="683" spans="1:2">
      <c r="A683" s="6" t="s">
        <v>687</v>
      </c>
      <c r="B683">
        <v>1</v>
      </c>
    </row>
    <row r="684" spans="1:2">
      <c r="A684" s="6" t="s">
        <v>688</v>
      </c>
      <c r="B684">
        <v>2</v>
      </c>
    </row>
    <row r="685" spans="1:2">
      <c r="A685" s="6" t="s">
        <v>689</v>
      </c>
      <c r="B685">
        <v>1</v>
      </c>
    </row>
    <row r="686" spans="1:2">
      <c r="A686" s="6" t="s">
        <v>690</v>
      </c>
      <c r="B686">
        <v>1</v>
      </c>
    </row>
    <row r="687" spans="1:2">
      <c r="A687" s="6" t="s">
        <v>691</v>
      </c>
      <c r="B687">
        <v>1</v>
      </c>
    </row>
    <row r="688" spans="1:2">
      <c r="A688" s="6" t="s">
        <v>692</v>
      </c>
      <c r="B688">
        <v>2</v>
      </c>
    </row>
    <row r="689" spans="1:2">
      <c r="A689" s="6" t="s">
        <v>693</v>
      </c>
      <c r="B689">
        <v>1</v>
      </c>
    </row>
    <row r="690" spans="1:2">
      <c r="A690" s="6" t="s">
        <v>694</v>
      </c>
      <c r="B690">
        <v>1</v>
      </c>
    </row>
    <row r="691" spans="1:2">
      <c r="A691" s="6" t="s">
        <v>695</v>
      </c>
      <c r="B691">
        <v>1</v>
      </c>
    </row>
    <row r="692" spans="1:2">
      <c r="A692" s="6" t="s">
        <v>696</v>
      </c>
      <c r="B692">
        <v>1</v>
      </c>
    </row>
    <row r="693" spans="1:2">
      <c r="A693" s="6" t="s">
        <v>697</v>
      </c>
      <c r="B693">
        <v>1</v>
      </c>
    </row>
    <row r="694" spans="1:2">
      <c r="A694" s="6" t="s">
        <v>698</v>
      </c>
      <c r="B694">
        <v>1</v>
      </c>
    </row>
    <row r="695" spans="1:2">
      <c r="A695" s="6" t="s">
        <v>699</v>
      </c>
      <c r="B695">
        <v>1</v>
      </c>
    </row>
    <row r="696" spans="1:2">
      <c r="A696" s="6" t="s">
        <v>700</v>
      </c>
      <c r="B696">
        <v>1</v>
      </c>
    </row>
    <row r="697" spans="1:2">
      <c r="A697" s="6" t="s">
        <v>701</v>
      </c>
      <c r="B697">
        <v>1</v>
      </c>
    </row>
    <row r="698" spans="1:2">
      <c r="A698" s="6" t="s">
        <v>702</v>
      </c>
      <c r="B698">
        <v>1</v>
      </c>
    </row>
    <row r="699" spans="1:2">
      <c r="A699" s="6" t="s">
        <v>703</v>
      </c>
      <c r="B699">
        <v>1</v>
      </c>
    </row>
    <row r="700" spans="1:2">
      <c r="A700" s="6" t="s">
        <v>704</v>
      </c>
      <c r="B700">
        <v>2</v>
      </c>
    </row>
    <row r="701" spans="1:2">
      <c r="A701" s="6" t="s">
        <v>705</v>
      </c>
      <c r="B701">
        <v>1</v>
      </c>
    </row>
    <row r="702" spans="1:2">
      <c r="A702" s="6" t="s">
        <v>706</v>
      </c>
      <c r="B702">
        <v>1</v>
      </c>
    </row>
    <row r="703" spans="1:2">
      <c r="A703" s="6" t="s">
        <v>707</v>
      </c>
      <c r="B703">
        <v>1</v>
      </c>
    </row>
    <row r="704" spans="1:2">
      <c r="A704" s="6" t="s">
        <v>708</v>
      </c>
      <c r="B704">
        <v>2</v>
      </c>
    </row>
    <row r="705" spans="1:2">
      <c r="A705" s="6" t="s">
        <v>709</v>
      </c>
      <c r="B705">
        <v>1</v>
      </c>
    </row>
    <row r="706" spans="1:2">
      <c r="A706" s="6" t="s">
        <v>710</v>
      </c>
      <c r="B706">
        <v>2</v>
      </c>
    </row>
    <row r="707" spans="1:2">
      <c r="A707" s="6" t="s">
        <v>711</v>
      </c>
      <c r="B707">
        <v>1</v>
      </c>
    </row>
    <row r="708" spans="1:2">
      <c r="A708" s="6" t="s">
        <v>712</v>
      </c>
      <c r="B708">
        <v>1</v>
      </c>
    </row>
    <row r="709" spans="1:2">
      <c r="A709" s="6" t="s">
        <v>713</v>
      </c>
      <c r="B709">
        <v>1</v>
      </c>
    </row>
    <row r="710" spans="1:2">
      <c r="A710" s="6" t="s">
        <v>714</v>
      </c>
      <c r="B710">
        <v>1</v>
      </c>
    </row>
    <row r="711" spans="1:2">
      <c r="A711" s="6" t="s">
        <v>715</v>
      </c>
      <c r="B711">
        <v>2</v>
      </c>
    </row>
    <row r="712" spans="1:2">
      <c r="A712" s="6" t="s">
        <v>716</v>
      </c>
      <c r="B712">
        <v>1</v>
      </c>
    </row>
    <row r="713" spans="1:2">
      <c r="A713" s="6" t="s">
        <v>717</v>
      </c>
      <c r="B713">
        <v>2</v>
      </c>
    </row>
    <row r="714" spans="1:2">
      <c r="A714" s="6" t="s">
        <v>718</v>
      </c>
      <c r="B714">
        <v>2</v>
      </c>
    </row>
    <row r="715" spans="1:2">
      <c r="A715" s="6" t="s">
        <v>719</v>
      </c>
      <c r="B715">
        <v>2</v>
      </c>
    </row>
    <row r="716" spans="1:2">
      <c r="A716" s="6" t="s">
        <v>720</v>
      </c>
      <c r="B716">
        <v>1</v>
      </c>
    </row>
    <row r="717" spans="1:2">
      <c r="A717" s="6" t="s">
        <v>721</v>
      </c>
      <c r="B717">
        <v>1</v>
      </c>
    </row>
    <row r="718" spans="1:2">
      <c r="A718" s="6" t="s">
        <v>722</v>
      </c>
      <c r="B718">
        <v>1</v>
      </c>
    </row>
    <row r="719" spans="1:2">
      <c r="A719" s="6" t="s">
        <v>723</v>
      </c>
      <c r="B719">
        <v>2</v>
      </c>
    </row>
    <row r="720" spans="1:2">
      <c r="A720" s="6" t="s">
        <v>724</v>
      </c>
      <c r="B720">
        <v>2</v>
      </c>
    </row>
    <row r="721" spans="1:2">
      <c r="A721" s="6" t="s">
        <v>725</v>
      </c>
      <c r="B721">
        <v>1</v>
      </c>
    </row>
    <row r="722" spans="1:2">
      <c r="A722" s="6" t="s">
        <v>726</v>
      </c>
      <c r="B722">
        <v>1</v>
      </c>
    </row>
    <row r="723" spans="1:2">
      <c r="A723" s="6" t="s">
        <v>727</v>
      </c>
      <c r="B723">
        <v>2</v>
      </c>
    </row>
    <row r="724" spans="1:2">
      <c r="A724" s="6" t="s">
        <v>728</v>
      </c>
      <c r="B724">
        <v>1</v>
      </c>
    </row>
    <row r="725" spans="1:2">
      <c r="A725" s="6" t="s">
        <v>729</v>
      </c>
      <c r="B725">
        <v>1</v>
      </c>
    </row>
    <row r="726" spans="1:2">
      <c r="A726" s="6" t="s">
        <v>730</v>
      </c>
      <c r="B726">
        <v>2</v>
      </c>
    </row>
    <row r="727" spans="1:2">
      <c r="A727" s="6" t="s">
        <v>731</v>
      </c>
      <c r="B727">
        <v>1</v>
      </c>
    </row>
    <row r="728" spans="1:2">
      <c r="A728" s="6" t="s">
        <v>732</v>
      </c>
      <c r="B728">
        <v>1</v>
      </c>
    </row>
    <row r="729" spans="1:2">
      <c r="A729" s="6" t="s">
        <v>733</v>
      </c>
      <c r="B729">
        <v>2</v>
      </c>
    </row>
    <row r="730" spans="1:2">
      <c r="A730" s="6" t="s">
        <v>734</v>
      </c>
      <c r="B730">
        <v>2</v>
      </c>
    </row>
    <row r="731" spans="1:2">
      <c r="A731" s="6" t="s">
        <v>735</v>
      </c>
      <c r="B731">
        <v>1</v>
      </c>
    </row>
    <row r="732" spans="1:2">
      <c r="A732" s="6" t="s">
        <v>736</v>
      </c>
      <c r="B732">
        <v>1</v>
      </c>
    </row>
    <row r="733" spans="1:2">
      <c r="A733" s="6" t="s">
        <v>737</v>
      </c>
      <c r="B733">
        <v>1</v>
      </c>
    </row>
    <row r="734" spans="1:2">
      <c r="A734" s="6" t="s">
        <v>738</v>
      </c>
      <c r="B734">
        <v>1</v>
      </c>
    </row>
    <row r="735" spans="1:2">
      <c r="A735" s="6" t="s">
        <v>739</v>
      </c>
      <c r="B735">
        <v>1</v>
      </c>
    </row>
    <row r="736" spans="1:2">
      <c r="A736" s="6" t="s">
        <v>740</v>
      </c>
      <c r="B736">
        <v>2</v>
      </c>
    </row>
    <row r="737" spans="1:2">
      <c r="A737" s="6" t="s">
        <v>741</v>
      </c>
      <c r="B737">
        <v>1</v>
      </c>
    </row>
    <row r="738" spans="1:2">
      <c r="A738" s="6" t="s">
        <v>742</v>
      </c>
      <c r="B738">
        <v>1</v>
      </c>
    </row>
    <row r="739" spans="1:2">
      <c r="A739" s="6" t="s">
        <v>743</v>
      </c>
      <c r="B739">
        <v>1</v>
      </c>
    </row>
    <row r="740" spans="1:2">
      <c r="A740" s="6" t="s">
        <v>744</v>
      </c>
      <c r="B740">
        <v>1</v>
      </c>
    </row>
    <row r="741" spans="1:2">
      <c r="A741" s="6" t="s">
        <v>745</v>
      </c>
      <c r="B741">
        <v>2</v>
      </c>
    </row>
    <row r="742" spans="1:2">
      <c r="A742" s="6" t="s">
        <v>746</v>
      </c>
      <c r="B742">
        <v>1</v>
      </c>
    </row>
    <row r="743" spans="1:2">
      <c r="A743" s="6" t="s">
        <v>747</v>
      </c>
      <c r="B743">
        <v>1</v>
      </c>
    </row>
    <row r="744" spans="1:2">
      <c r="A744" s="6" t="s">
        <v>748</v>
      </c>
      <c r="B744">
        <v>1</v>
      </c>
    </row>
    <row r="745" spans="1:2">
      <c r="A745" s="6" t="s">
        <v>749</v>
      </c>
      <c r="B745">
        <v>1</v>
      </c>
    </row>
    <row r="746" spans="1:2">
      <c r="A746" s="6" t="s">
        <v>750</v>
      </c>
      <c r="B746">
        <v>1</v>
      </c>
    </row>
    <row r="747" spans="1:2">
      <c r="A747" s="6" t="s">
        <v>751</v>
      </c>
      <c r="B747">
        <v>1</v>
      </c>
    </row>
    <row r="748" spans="1:2">
      <c r="A748" s="6" t="s">
        <v>752</v>
      </c>
      <c r="B748">
        <v>1</v>
      </c>
    </row>
    <row r="749" spans="1:2">
      <c r="A749" s="6" t="s">
        <v>753</v>
      </c>
      <c r="B749">
        <v>1</v>
      </c>
    </row>
    <row r="750" spans="1:2">
      <c r="A750" s="6" t="s">
        <v>754</v>
      </c>
      <c r="B750">
        <v>1</v>
      </c>
    </row>
    <row r="751" spans="1:2">
      <c r="A751" s="6" t="s">
        <v>755</v>
      </c>
      <c r="B751">
        <v>2</v>
      </c>
    </row>
    <row r="752" spans="1:2">
      <c r="A752" s="6" t="s">
        <v>756</v>
      </c>
      <c r="B752">
        <v>1</v>
      </c>
    </row>
    <row r="753" spans="1:2">
      <c r="A753" s="6" t="s">
        <v>757</v>
      </c>
      <c r="B753">
        <v>1</v>
      </c>
    </row>
    <row r="754" spans="1:2">
      <c r="A754" s="6" t="s">
        <v>758</v>
      </c>
      <c r="B754">
        <v>1</v>
      </c>
    </row>
    <row r="755" spans="1:2">
      <c r="A755" s="6" t="s">
        <v>759</v>
      </c>
      <c r="B755">
        <v>1</v>
      </c>
    </row>
    <row r="756" spans="1:2">
      <c r="A756" s="6" t="s">
        <v>760</v>
      </c>
      <c r="B756">
        <v>2</v>
      </c>
    </row>
    <row r="757" spans="1:2">
      <c r="A757" s="6" t="s">
        <v>761</v>
      </c>
      <c r="B757">
        <v>1</v>
      </c>
    </row>
    <row r="758" spans="1:2">
      <c r="A758" s="6" t="s">
        <v>762</v>
      </c>
      <c r="B758">
        <v>2</v>
      </c>
    </row>
    <row r="759" spans="1:2">
      <c r="A759" s="6" t="s">
        <v>763</v>
      </c>
      <c r="B759">
        <v>1</v>
      </c>
    </row>
    <row r="760" spans="1:2">
      <c r="A760" s="6" t="s">
        <v>764</v>
      </c>
      <c r="B760">
        <v>2</v>
      </c>
    </row>
    <row r="761" spans="1:2">
      <c r="A761" s="6" t="s">
        <v>765</v>
      </c>
      <c r="B761">
        <v>1</v>
      </c>
    </row>
    <row r="762" spans="1:2">
      <c r="A762" s="6" t="s">
        <v>766</v>
      </c>
      <c r="B762">
        <v>1</v>
      </c>
    </row>
    <row r="763" spans="1:2">
      <c r="A763" s="6" t="s">
        <v>767</v>
      </c>
      <c r="B763">
        <v>1</v>
      </c>
    </row>
    <row r="764" spans="1:2">
      <c r="A764" s="6" t="s">
        <v>768</v>
      </c>
      <c r="B764">
        <v>2</v>
      </c>
    </row>
    <row r="765" spans="1:2">
      <c r="A765" s="6" t="s">
        <v>769</v>
      </c>
      <c r="B765">
        <v>2</v>
      </c>
    </row>
    <row r="766" spans="1:2">
      <c r="A766" s="6" t="s">
        <v>770</v>
      </c>
      <c r="B766">
        <v>1</v>
      </c>
    </row>
    <row r="767" spans="1:2">
      <c r="A767" s="6" t="s">
        <v>771</v>
      </c>
      <c r="B767">
        <v>2</v>
      </c>
    </row>
    <row r="768" spans="1:2">
      <c r="A768" s="6" t="s">
        <v>772</v>
      </c>
      <c r="B768">
        <v>1</v>
      </c>
    </row>
    <row r="769" spans="1:2">
      <c r="A769" s="6" t="s">
        <v>773</v>
      </c>
      <c r="B769">
        <v>1</v>
      </c>
    </row>
    <row r="770" spans="1:2">
      <c r="A770" s="6" t="s">
        <v>774</v>
      </c>
      <c r="B770">
        <v>1</v>
      </c>
    </row>
    <row r="771" spans="1:2">
      <c r="A771" s="6" t="s">
        <v>775</v>
      </c>
      <c r="B771">
        <v>1</v>
      </c>
    </row>
    <row r="772" spans="1:2">
      <c r="A772" s="6" t="s">
        <v>776</v>
      </c>
      <c r="B772">
        <v>1</v>
      </c>
    </row>
    <row r="773" spans="1:2">
      <c r="A773" s="6" t="s">
        <v>777</v>
      </c>
      <c r="B773">
        <v>2</v>
      </c>
    </row>
    <row r="774" spans="1:2">
      <c r="A774" s="6" t="s">
        <v>778</v>
      </c>
      <c r="B774">
        <v>1</v>
      </c>
    </row>
    <row r="775" spans="1:2">
      <c r="A775" s="6" t="s">
        <v>779</v>
      </c>
      <c r="B775">
        <v>1</v>
      </c>
    </row>
    <row r="776" spans="1:2">
      <c r="A776" s="6" t="s">
        <v>780</v>
      </c>
      <c r="B776">
        <v>1</v>
      </c>
    </row>
    <row r="777" spans="1:2">
      <c r="A777" s="6" t="s">
        <v>781</v>
      </c>
      <c r="B777">
        <v>1</v>
      </c>
    </row>
    <row r="778" spans="1:2">
      <c r="A778" s="6" t="s">
        <v>782</v>
      </c>
      <c r="B778">
        <v>1</v>
      </c>
    </row>
    <row r="779" spans="1:2">
      <c r="A779" s="6" t="s">
        <v>783</v>
      </c>
      <c r="B779">
        <v>1</v>
      </c>
    </row>
    <row r="780" spans="1:2">
      <c r="A780" s="6" t="s">
        <v>784</v>
      </c>
      <c r="B780">
        <v>1</v>
      </c>
    </row>
    <row r="781" spans="1:2">
      <c r="A781" s="6" t="s">
        <v>785</v>
      </c>
      <c r="B781">
        <v>1</v>
      </c>
    </row>
    <row r="782" spans="1:2">
      <c r="A782" s="6" t="s">
        <v>786</v>
      </c>
      <c r="B782">
        <v>1</v>
      </c>
    </row>
    <row r="783" spans="1:2">
      <c r="A783" s="6" t="s">
        <v>787</v>
      </c>
      <c r="B783">
        <v>1</v>
      </c>
    </row>
    <row r="784" spans="1:2">
      <c r="A784" s="6" t="s">
        <v>788</v>
      </c>
      <c r="B784">
        <v>1</v>
      </c>
    </row>
    <row r="785" spans="1:2">
      <c r="A785" s="6" t="s">
        <v>789</v>
      </c>
      <c r="B785">
        <v>1</v>
      </c>
    </row>
    <row r="786" spans="1:2">
      <c r="A786" s="6" t="s">
        <v>790</v>
      </c>
      <c r="B786">
        <v>2</v>
      </c>
    </row>
    <row r="787" spans="1:2">
      <c r="A787" s="6" t="s">
        <v>791</v>
      </c>
      <c r="B787">
        <v>1</v>
      </c>
    </row>
    <row r="788" spans="1:2">
      <c r="A788" s="6" t="s">
        <v>792</v>
      </c>
      <c r="B788">
        <v>1</v>
      </c>
    </row>
    <row r="789" spans="1:2">
      <c r="A789" s="6" t="s">
        <v>793</v>
      </c>
      <c r="B789">
        <v>1</v>
      </c>
    </row>
    <row r="790" spans="1:2">
      <c r="A790" s="6" t="s">
        <v>794</v>
      </c>
      <c r="B790">
        <v>1</v>
      </c>
    </row>
    <row r="791" spans="1:2">
      <c r="A791" s="6" t="s">
        <v>795</v>
      </c>
      <c r="B791">
        <v>1</v>
      </c>
    </row>
    <row r="792" spans="1:2">
      <c r="A792" s="6" t="s">
        <v>796</v>
      </c>
      <c r="B792">
        <v>1</v>
      </c>
    </row>
    <row r="793" spans="1:2">
      <c r="A793" s="6" t="s">
        <v>797</v>
      </c>
      <c r="B793">
        <v>1</v>
      </c>
    </row>
    <row r="794" spans="1:2">
      <c r="A794" s="6" t="s">
        <v>798</v>
      </c>
      <c r="B794">
        <v>2</v>
      </c>
    </row>
    <row r="795" spans="1:2">
      <c r="A795" s="6" t="s">
        <v>799</v>
      </c>
      <c r="B795">
        <v>1</v>
      </c>
    </row>
    <row r="796" spans="1:2">
      <c r="A796" s="6" t="s">
        <v>800</v>
      </c>
      <c r="B796">
        <v>1</v>
      </c>
    </row>
    <row r="797" spans="1:2">
      <c r="A797" s="6" t="s">
        <v>801</v>
      </c>
      <c r="B797">
        <v>1</v>
      </c>
    </row>
    <row r="798" spans="1:2">
      <c r="A798" s="6" t="s">
        <v>802</v>
      </c>
      <c r="B798">
        <v>2</v>
      </c>
    </row>
    <row r="799" spans="1:2">
      <c r="A799" s="6" t="s">
        <v>803</v>
      </c>
      <c r="B799">
        <v>1</v>
      </c>
    </row>
    <row r="800" spans="1:2">
      <c r="A800" s="6" t="s">
        <v>804</v>
      </c>
      <c r="B800">
        <v>1</v>
      </c>
    </row>
    <row r="801" spans="1:2">
      <c r="A801" s="6" t="s">
        <v>805</v>
      </c>
      <c r="B801">
        <v>1</v>
      </c>
    </row>
    <row r="802" spans="1:2">
      <c r="A802" s="6" t="s">
        <v>806</v>
      </c>
      <c r="B802">
        <v>1</v>
      </c>
    </row>
    <row r="803" spans="1:2">
      <c r="A803" s="6" t="s">
        <v>807</v>
      </c>
      <c r="B803">
        <v>2</v>
      </c>
    </row>
    <row r="804" spans="1:2">
      <c r="A804" s="6" t="s">
        <v>808</v>
      </c>
      <c r="B804">
        <v>2</v>
      </c>
    </row>
    <row r="805" spans="1:2">
      <c r="A805" s="6" t="s">
        <v>809</v>
      </c>
      <c r="B805">
        <v>1</v>
      </c>
    </row>
    <row r="806" spans="1:2">
      <c r="A806" s="6" t="s">
        <v>810</v>
      </c>
      <c r="B806">
        <v>2</v>
      </c>
    </row>
    <row r="807" spans="1:2">
      <c r="A807" s="6" t="s">
        <v>811</v>
      </c>
      <c r="B807">
        <v>1</v>
      </c>
    </row>
    <row r="808" spans="1:2">
      <c r="A808" s="6" t="s">
        <v>812</v>
      </c>
      <c r="B808">
        <v>1</v>
      </c>
    </row>
    <row r="809" spans="1:2">
      <c r="A809" s="6" t="s">
        <v>813</v>
      </c>
      <c r="B809">
        <v>1</v>
      </c>
    </row>
    <row r="810" spans="1:2">
      <c r="A810" s="6" t="s">
        <v>814</v>
      </c>
      <c r="B810">
        <v>1</v>
      </c>
    </row>
    <row r="811" spans="1:2">
      <c r="A811" s="6" t="s">
        <v>815</v>
      </c>
      <c r="B811">
        <v>1</v>
      </c>
    </row>
    <row r="812" spans="1:2">
      <c r="A812" s="6" t="s">
        <v>816</v>
      </c>
      <c r="B812">
        <v>1</v>
      </c>
    </row>
    <row r="813" spans="1:2">
      <c r="A813" s="6" t="s">
        <v>817</v>
      </c>
      <c r="B813">
        <v>1</v>
      </c>
    </row>
    <row r="814" spans="1:2">
      <c r="A814" s="6" t="s">
        <v>818</v>
      </c>
      <c r="B814">
        <v>2</v>
      </c>
    </row>
    <row r="815" spans="1:2">
      <c r="A815" s="6" t="s">
        <v>819</v>
      </c>
      <c r="B815">
        <v>1</v>
      </c>
    </row>
    <row r="816" spans="1:2">
      <c r="A816" s="6" t="s">
        <v>820</v>
      </c>
      <c r="B816">
        <v>2</v>
      </c>
    </row>
    <row r="817" spans="1:2">
      <c r="A817" s="6" t="s">
        <v>821</v>
      </c>
      <c r="B817">
        <v>2</v>
      </c>
    </row>
    <row r="818" spans="1:2">
      <c r="A818" s="6" t="s">
        <v>822</v>
      </c>
      <c r="B818">
        <v>2</v>
      </c>
    </row>
    <row r="819" spans="1:2">
      <c r="A819" s="6" t="s">
        <v>823</v>
      </c>
      <c r="B819">
        <v>1</v>
      </c>
    </row>
    <row r="820" spans="1:2">
      <c r="A820" s="6" t="s">
        <v>824</v>
      </c>
      <c r="B820">
        <v>1</v>
      </c>
    </row>
    <row r="821" spans="1:2">
      <c r="A821" s="6" t="s">
        <v>825</v>
      </c>
      <c r="B821">
        <v>2</v>
      </c>
    </row>
    <row r="822" spans="1:2">
      <c r="A822" s="6" t="s">
        <v>826</v>
      </c>
      <c r="B822">
        <v>1</v>
      </c>
    </row>
    <row r="823" spans="1:2">
      <c r="A823" s="6" t="s">
        <v>827</v>
      </c>
      <c r="B823">
        <v>1</v>
      </c>
    </row>
    <row r="824" spans="1:2">
      <c r="A824" s="6" t="s">
        <v>828</v>
      </c>
      <c r="B824">
        <v>1</v>
      </c>
    </row>
    <row r="825" spans="1:2">
      <c r="A825" s="6" t="s">
        <v>829</v>
      </c>
      <c r="B825">
        <v>1</v>
      </c>
    </row>
    <row r="826" spans="1:2">
      <c r="A826" s="6" t="s">
        <v>830</v>
      </c>
      <c r="B826">
        <v>1</v>
      </c>
    </row>
    <row r="827" spans="1:2">
      <c r="A827" s="6" t="s">
        <v>831</v>
      </c>
      <c r="B827">
        <v>1</v>
      </c>
    </row>
    <row r="828" spans="1:2">
      <c r="A828" s="6" t="s">
        <v>832</v>
      </c>
      <c r="B828">
        <v>1</v>
      </c>
    </row>
    <row r="829" spans="1:2">
      <c r="A829" s="6" t="s">
        <v>833</v>
      </c>
      <c r="B829">
        <v>1</v>
      </c>
    </row>
    <row r="830" spans="1:2">
      <c r="A830" s="6" t="s">
        <v>834</v>
      </c>
      <c r="B830">
        <v>1</v>
      </c>
    </row>
    <row r="831" spans="1:2">
      <c r="A831" s="6" t="s">
        <v>835</v>
      </c>
      <c r="B831">
        <v>2</v>
      </c>
    </row>
    <row r="832" spans="1:2">
      <c r="A832" s="6" t="s">
        <v>836</v>
      </c>
      <c r="B832">
        <v>1</v>
      </c>
    </row>
    <row r="833" spans="1:2">
      <c r="A833" s="6" t="s">
        <v>837</v>
      </c>
      <c r="B833">
        <v>1</v>
      </c>
    </row>
    <row r="834" spans="1:2">
      <c r="A834" s="6" t="s">
        <v>838</v>
      </c>
      <c r="B834">
        <v>1</v>
      </c>
    </row>
    <row r="835" spans="1:2">
      <c r="A835" s="6" t="s">
        <v>839</v>
      </c>
      <c r="B835">
        <v>1</v>
      </c>
    </row>
    <row r="836" spans="1:2">
      <c r="A836" s="6" t="s">
        <v>840</v>
      </c>
      <c r="B836">
        <v>1</v>
      </c>
    </row>
    <row r="837" spans="1:2">
      <c r="A837" s="6" t="s">
        <v>841</v>
      </c>
      <c r="B837">
        <v>1</v>
      </c>
    </row>
    <row r="838" spans="1:2">
      <c r="A838" s="6" t="s">
        <v>842</v>
      </c>
      <c r="B838">
        <v>1</v>
      </c>
    </row>
    <row r="839" spans="1:2">
      <c r="A839" s="6" t="s">
        <v>843</v>
      </c>
      <c r="B839">
        <v>1</v>
      </c>
    </row>
    <row r="840" spans="1:2">
      <c r="A840" s="6" t="s">
        <v>844</v>
      </c>
      <c r="B840">
        <v>2</v>
      </c>
    </row>
    <row r="841" spans="1:2">
      <c r="A841" s="6" t="s">
        <v>845</v>
      </c>
      <c r="B841">
        <v>1</v>
      </c>
    </row>
    <row r="842" spans="1:2">
      <c r="A842" s="6" t="s">
        <v>846</v>
      </c>
      <c r="B842">
        <v>1</v>
      </c>
    </row>
    <row r="843" spans="1:2">
      <c r="A843" s="6" t="s">
        <v>847</v>
      </c>
      <c r="B843">
        <v>1</v>
      </c>
    </row>
    <row r="844" spans="1:2">
      <c r="A844" s="6" t="s">
        <v>848</v>
      </c>
      <c r="B844">
        <v>1</v>
      </c>
    </row>
    <row r="845" spans="1:2">
      <c r="A845" s="6" t="s">
        <v>849</v>
      </c>
      <c r="B845">
        <v>1</v>
      </c>
    </row>
    <row r="846" spans="1:2">
      <c r="A846" s="6" t="s">
        <v>850</v>
      </c>
      <c r="B846">
        <v>2</v>
      </c>
    </row>
    <row r="847" spans="1:2">
      <c r="A847" s="6" t="s">
        <v>851</v>
      </c>
      <c r="B847">
        <v>1</v>
      </c>
    </row>
    <row r="848" spans="1:2">
      <c r="A848" s="6" t="s">
        <v>852</v>
      </c>
      <c r="B848">
        <v>1</v>
      </c>
    </row>
    <row r="849" spans="1:2">
      <c r="A849" s="6" t="s">
        <v>853</v>
      </c>
      <c r="B849">
        <v>2</v>
      </c>
    </row>
    <row r="850" spans="1:2">
      <c r="A850" s="6" t="s">
        <v>854</v>
      </c>
      <c r="B850">
        <v>1</v>
      </c>
    </row>
    <row r="851" spans="1:2">
      <c r="A851" s="6" t="s">
        <v>855</v>
      </c>
      <c r="B851">
        <v>1</v>
      </c>
    </row>
    <row r="852" spans="1:2">
      <c r="A852" s="6" t="s">
        <v>856</v>
      </c>
      <c r="B852">
        <v>1</v>
      </c>
    </row>
    <row r="853" spans="1:2">
      <c r="A853" s="6" t="s">
        <v>857</v>
      </c>
      <c r="B853">
        <v>1</v>
      </c>
    </row>
    <row r="854" spans="1:2">
      <c r="A854" s="6" t="s">
        <v>858</v>
      </c>
      <c r="B854">
        <v>1</v>
      </c>
    </row>
    <row r="855" spans="1:2">
      <c r="A855" s="6" t="s">
        <v>859</v>
      </c>
      <c r="B855">
        <v>1</v>
      </c>
    </row>
    <row r="856" spans="1:2">
      <c r="A856" s="6" t="s">
        <v>860</v>
      </c>
      <c r="B856">
        <v>1</v>
      </c>
    </row>
    <row r="857" spans="1:2">
      <c r="A857" s="6" t="s">
        <v>861</v>
      </c>
      <c r="B857">
        <v>1</v>
      </c>
    </row>
    <row r="858" spans="1:2">
      <c r="A858" s="6" t="s">
        <v>862</v>
      </c>
      <c r="B858">
        <v>1</v>
      </c>
    </row>
    <row r="859" spans="1:2">
      <c r="A859" s="6" t="s">
        <v>863</v>
      </c>
      <c r="B859">
        <v>1</v>
      </c>
    </row>
    <row r="860" spans="1:2">
      <c r="A860" s="6" t="s">
        <v>864</v>
      </c>
      <c r="B860">
        <v>1</v>
      </c>
    </row>
    <row r="861" spans="1:2">
      <c r="A861" s="6" t="s">
        <v>865</v>
      </c>
      <c r="B861">
        <v>1</v>
      </c>
    </row>
    <row r="862" spans="1:2">
      <c r="A862" s="6" t="s">
        <v>866</v>
      </c>
      <c r="B862">
        <v>1</v>
      </c>
    </row>
    <row r="863" spans="1:2">
      <c r="A863" s="6" t="s">
        <v>867</v>
      </c>
      <c r="B863">
        <v>1</v>
      </c>
    </row>
    <row r="864" spans="1:2">
      <c r="A864" s="6" t="s">
        <v>868</v>
      </c>
      <c r="B864">
        <v>1</v>
      </c>
    </row>
    <row r="865" spans="1:2">
      <c r="A865" s="6" t="s">
        <v>869</v>
      </c>
      <c r="B865">
        <v>2</v>
      </c>
    </row>
    <row r="866" spans="1:2">
      <c r="A866" s="6" t="s">
        <v>870</v>
      </c>
      <c r="B866">
        <v>1</v>
      </c>
    </row>
    <row r="867" spans="1:2">
      <c r="A867" s="6" t="s">
        <v>871</v>
      </c>
      <c r="B867">
        <v>1</v>
      </c>
    </row>
    <row r="868" spans="1:2">
      <c r="A868" s="6" t="s">
        <v>872</v>
      </c>
      <c r="B868">
        <v>2</v>
      </c>
    </row>
    <row r="869" spans="1:2">
      <c r="A869" s="6" t="s">
        <v>873</v>
      </c>
      <c r="B869">
        <v>2</v>
      </c>
    </row>
    <row r="870" spans="1:2">
      <c r="A870" s="6" t="s">
        <v>874</v>
      </c>
      <c r="B870">
        <v>1</v>
      </c>
    </row>
    <row r="871" spans="1:2">
      <c r="A871" s="6" t="s">
        <v>875</v>
      </c>
      <c r="B871">
        <v>1</v>
      </c>
    </row>
    <row r="872" spans="1:2">
      <c r="A872" s="6" t="s">
        <v>876</v>
      </c>
      <c r="B872">
        <v>1</v>
      </c>
    </row>
    <row r="873" spans="1:2">
      <c r="A873" s="6" t="s">
        <v>877</v>
      </c>
      <c r="B873">
        <v>2</v>
      </c>
    </row>
    <row r="874" spans="1:2">
      <c r="A874" s="6" t="s">
        <v>878</v>
      </c>
      <c r="B874">
        <v>1</v>
      </c>
    </row>
    <row r="875" spans="1:2">
      <c r="A875" s="6" t="s">
        <v>879</v>
      </c>
      <c r="B875">
        <v>1</v>
      </c>
    </row>
    <row r="876" spans="1:2">
      <c r="A876" s="6" t="s">
        <v>880</v>
      </c>
      <c r="B876">
        <v>1</v>
      </c>
    </row>
    <row r="877" spans="1:2">
      <c r="A877" s="6" t="s">
        <v>881</v>
      </c>
      <c r="B877">
        <v>1</v>
      </c>
    </row>
    <row r="878" spans="1:2">
      <c r="A878" s="6" t="s">
        <v>882</v>
      </c>
      <c r="B878">
        <v>2</v>
      </c>
    </row>
    <row r="879" spans="1:2">
      <c r="A879" s="6" t="s">
        <v>883</v>
      </c>
      <c r="B879">
        <v>2</v>
      </c>
    </row>
    <row r="880" spans="1:2">
      <c r="A880" s="6" t="s">
        <v>884</v>
      </c>
      <c r="B880">
        <v>1</v>
      </c>
    </row>
    <row r="881" spans="1:2">
      <c r="A881" s="6" t="s">
        <v>885</v>
      </c>
      <c r="B881">
        <v>1</v>
      </c>
    </row>
    <row r="882" spans="1:2">
      <c r="A882" s="6" t="s">
        <v>886</v>
      </c>
      <c r="B882">
        <v>1</v>
      </c>
    </row>
    <row r="883" spans="1:2">
      <c r="A883" s="6" t="s">
        <v>887</v>
      </c>
      <c r="B883">
        <v>1</v>
      </c>
    </row>
    <row r="884" spans="1:2">
      <c r="A884" s="6" t="s">
        <v>888</v>
      </c>
      <c r="B884">
        <v>1</v>
      </c>
    </row>
    <row r="885" spans="1:2">
      <c r="A885" s="6" t="s">
        <v>889</v>
      </c>
      <c r="B885">
        <v>1</v>
      </c>
    </row>
    <row r="886" spans="1:2">
      <c r="A886" s="6" t="s">
        <v>890</v>
      </c>
      <c r="B886">
        <v>2</v>
      </c>
    </row>
    <row r="887" spans="1:2">
      <c r="A887" s="6" t="s">
        <v>891</v>
      </c>
      <c r="B887">
        <v>1</v>
      </c>
    </row>
    <row r="888" spans="1:2">
      <c r="A888" s="6" t="s">
        <v>892</v>
      </c>
      <c r="B888">
        <v>2</v>
      </c>
    </row>
    <row r="889" spans="1:2">
      <c r="A889" s="6" t="s">
        <v>893</v>
      </c>
      <c r="B889">
        <v>1</v>
      </c>
    </row>
    <row r="890" spans="1:2">
      <c r="A890" s="6" t="s">
        <v>894</v>
      </c>
      <c r="B890">
        <v>1</v>
      </c>
    </row>
    <row r="891" spans="1:2">
      <c r="A891" s="6" t="s">
        <v>895</v>
      </c>
      <c r="B891">
        <v>1</v>
      </c>
    </row>
    <row r="892" spans="1:2">
      <c r="A892" s="6" t="s">
        <v>896</v>
      </c>
      <c r="B892">
        <v>1</v>
      </c>
    </row>
    <row r="893" spans="1:2">
      <c r="A893" s="6" t="s">
        <v>897</v>
      </c>
      <c r="B893">
        <v>1</v>
      </c>
    </row>
    <row r="894" spans="1:2">
      <c r="A894" s="6" t="s">
        <v>898</v>
      </c>
      <c r="B894">
        <v>1</v>
      </c>
    </row>
    <row r="895" spans="1:2">
      <c r="A895" s="6" t="s">
        <v>899</v>
      </c>
      <c r="B895">
        <v>2</v>
      </c>
    </row>
    <row r="896" spans="1:2">
      <c r="A896" s="6" t="s">
        <v>900</v>
      </c>
      <c r="B896">
        <v>1</v>
      </c>
    </row>
    <row r="897" spans="1:2">
      <c r="A897" s="6" t="s">
        <v>901</v>
      </c>
      <c r="B897">
        <v>1</v>
      </c>
    </row>
    <row r="898" spans="1:2">
      <c r="A898" s="6" t="s">
        <v>902</v>
      </c>
      <c r="B898">
        <v>1</v>
      </c>
    </row>
    <row r="899" spans="1:2">
      <c r="A899" s="6" t="s">
        <v>903</v>
      </c>
      <c r="B899">
        <v>2</v>
      </c>
    </row>
    <row r="900" spans="1:2">
      <c r="A900" s="6" t="s">
        <v>904</v>
      </c>
      <c r="B900">
        <v>2</v>
      </c>
    </row>
    <row r="901" spans="1:2">
      <c r="A901" s="6" t="s">
        <v>905</v>
      </c>
      <c r="B901">
        <v>1</v>
      </c>
    </row>
    <row r="902" spans="1:2">
      <c r="A902" s="6" t="s">
        <v>906</v>
      </c>
      <c r="B902">
        <v>2</v>
      </c>
    </row>
    <row r="903" spans="1:2">
      <c r="A903" s="6" t="s">
        <v>907</v>
      </c>
      <c r="B903">
        <v>1</v>
      </c>
    </row>
    <row r="904" spans="1:2">
      <c r="A904" s="6" t="s">
        <v>908</v>
      </c>
      <c r="B904">
        <v>1</v>
      </c>
    </row>
    <row r="905" spans="1:2">
      <c r="A905" s="6" t="s">
        <v>909</v>
      </c>
      <c r="B905">
        <v>2</v>
      </c>
    </row>
    <row r="906" spans="1:2">
      <c r="A906" s="6" t="s">
        <v>910</v>
      </c>
      <c r="B906">
        <v>1</v>
      </c>
    </row>
    <row r="907" spans="1:2">
      <c r="A907" s="6" t="s">
        <v>911</v>
      </c>
      <c r="B907">
        <v>2</v>
      </c>
    </row>
    <row r="908" spans="1:2">
      <c r="A908" s="6" t="s">
        <v>912</v>
      </c>
      <c r="B908">
        <v>1</v>
      </c>
    </row>
    <row r="909" spans="1:2">
      <c r="A909" s="6" t="s">
        <v>913</v>
      </c>
      <c r="B909">
        <v>1</v>
      </c>
    </row>
    <row r="910" spans="1:2">
      <c r="A910" s="6" t="s">
        <v>914</v>
      </c>
      <c r="B910">
        <v>2</v>
      </c>
    </row>
    <row r="911" spans="1:2">
      <c r="A911" s="6" t="s">
        <v>915</v>
      </c>
      <c r="B911">
        <v>1</v>
      </c>
    </row>
    <row r="912" spans="1:2">
      <c r="A912" s="6" t="s">
        <v>916</v>
      </c>
      <c r="B912">
        <v>1</v>
      </c>
    </row>
    <row r="913" spans="1:2">
      <c r="A913" s="6" t="s">
        <v>917</v>
      </c>
      <c r="B913">
        <v>1</v>
      </c>
    </row>
    <row r="914" spans="1:2">
      <c r="A914" s="6" t="s">
        <v>918</v>
      </c>
      <c r="B914">
        <v>1</v>
      </c>
    </row>
    <row r="915" spans="1:2">
      <c r="A915" s="6" t="s">
        <v>919</v>
      </c>
      <c r="B915">
        <v>1</v>
      </c>
    </row>
    <row r="916" spans="1:2">
      <c r="A916" s="6" t="s">
        <v>920</v>
      </c>
      <c r="B916">
        <v>1</v>
      </c>
    </row>
    <row r="917" spans="1:2">
      <c r="A917" s="6" t="s">
        <v>921</v>
      </c>
      <c r="B917">
        <v>1</v>
      </c>
    </row>
    <row r="918" spans="1:2">
      <c r="A918" s="6" t="s">
        <v>922</v>
      </c>
      <c r="B918">
        <v>1</v>
      </c>
    </row>
    <row r="919" spans="1:2">
      <c r="A919" s="6" t="s">
        <v>923</v>
      </c>
      <c r="B919">
        <v>1</v>
      </c>
    </row>
    <row r="920" spans="1:2">
      <c r="A920" s="6" t="s">
        <v>924</v>
      </c>
      <c r="B920">
        <v>1</v>
      </c>
    </row>
    <row r="921" spans="1:2">
      <c r="A921" s="6" t="s">
        <v>925</v>
      </c>
      <c r="B921">
        <v>1</v>
      </c>
    </row>
    <row r="922" spans="1:2">
      <c r="A922" s="6" t="s">
        <v>926</v>
      </c>
      <c r="B922">
        <v>2</v>
      </c>
    </row>
    <row r="923" spans="1:2">
      <c r="A923" s="6" t="s">
        <v>927</v>
      </c>
      <c r="B923">
        <v>1</v>
      </c>
    </row>
    <row r="924" spans="1:2">
      <c r="A924" s="6" t="s">
        <v>928</v>
      </c>
      <c r="B924">
        <v>1</v>
      </c>
    </row>
    <row r="925" spans="1:2">
      <c r="A925" s="6" t="s">
        <v>929</v>
      </c>
      <c r="B925">
        <v>1</v>
      </c>
    </row>
    <row r="926" spans="1:2">
      <c r="A926" s="6" t="s">
        <v>930</v>
      </c>
      <c r="B926">
        <v>1</v>
      </c>
    </row>
    <row r="927" spans="1:2">
      <c r="A927" s="6" t="s">
        <v>931</v>
      </c>
      <c r="B927">
        <v>1</v>
      </c>
    </row>
    <row r="928" spans="1:2">
      <c r="A928" s="6" t="s">
        <v>932</v>
      </c>
      <c r="B928">
        <v>1</v>
      </c>
    </row>
    <row r="929" spans="1:2">
      <c r="A929" s="6" t="s">
        <v>933</v>
      </c>
      <c r="B929">
        <v>1</v>
      </c>
    </row>
    <row r="930" spans="1:2">
      <c r="A930" s="6" t="s">
        <v>934</v>
      </c>
      <c r="B930">
        <v>2</v>
      </c>
    </row>
    <row r="931" spans="1:2">
      <c r="A931" s="6" t="s">
        <v>935</v>
      </c>
      <c r="B931">
        <v>2</v>
      </c>
    </row>
    <row r="932" spans="1:2">
      <c r="A932" s="6" t="s">
        <v>936</v>
      </c>
      <c r="B932">
        <v>1</v>
      </c>
    </row>
    <row r="933" spans="1:2">
      <c r="A933" s="6" t="s">
        <v>937</v>
      </c>
      <c r="B933">
        <v>1</v>
      </c>
    </row>
    <row r="934" spans="1:2">
      <c r="A934" s="6" t="s">
        <v>938</v>
      </c>
      <c r="B934">
        <v>1</v>
      </c>
    </row>
    <row r="935" spans="1:2">
      <c r="A935" s="6" t="s">
        <v>939</v>
      </c>
      <c r="B935">
        <v>1</v>
      </c>
    </row>
    <row r="936" spans="1:2">
      <c r="A936" s="6" t="s">
        <v>940</v>
      </c>
      <c r="B936">
        <v>2</v>
      </c>
    </row>
    <row r="937" spans="1:2">
      <c r="A937" s="6" t="s">
        <v>941</v>
      </c>
      <c r="B937">
        <v>1</v>
      </c>
    </row>
    <row r="938" spans="1:2">
      <c r="A938" s="6" t="s">
        <v>942</v>
      </c>
      <c r="B938">
        <v>1</v>
      </c>
    </row>
    <row r="939" spans="1:2">
      <c r="A939" s="6" t="s">
        <v>943</v>
      </c>
      <c r="B939">
        <v>1</v>
      </c>
    </row>
    <row r="940" spans="1:2">
      <c r="A940" s="6" t="s">
        <v>944</v>
      </c>
      <c r="B940">
        <v>2</v>
      </c>
    </row>
    <row r="941" spans="1:2">
      <c r="A941" s="6" t="s">
        <v>945</v>
      </c>
      <c r="B941">
        <v>1</v>
      </c>
    </row>
    <row r="942" spans="1:2">
      <c r="A942" s="6" t="s">
        <v>946</v>
      </c>
      <c r="B942">
        <v>1</v>
      </c>
    </row>
    <row r="943" spans="1:2">
      <c r="A943" s="6" t="s">
        <v>947</v>
      </c>
      <c r="B943">
        <v>1</v>
      </c>
    </row>
    <row r="944" spans="1:2">
      <c r="A944" s="6" t="s">
        <v>948</v>
      </c>
      <c r="B944">
        <v>1</v>
      </c>
    </row>
    <row r="945" spans="1:2">
      <c r="A945" s="6" t="s">
        <v>949</v>
      </c>
      <c r="B945">
        <v>1</v>
      </c>
    </row>
    <row r="946" spans="1:2">
      <c r="A946" s="6" t="s">
        <v>950</v>
      </c>
      <c r="B946">
        <v>1</v>
      </c>
    </row>
    <row r="947" spans="1:2">
      <c r="A947" s="6" t="s">
        <v>951</v>
      </c>
      <c r="B947">
        <v>1</v>
      </c>
    </row>
    <row r="948" spans="1:2">
      <c r="A948" s="6" t="s">
        <v>952</v>
      </c>
      <c r="B948">
        <v>1</v>
      </c>
    </row>
    <row r="949" spans="1:2">
      <c r="A949" s="6" t="s">
        <v>953</v>
      </c>
      <c r="B949">
        <v>1</v>
      </c>
    </row>
    <row r="950" spans="1:2">
      <c r="A950" s="6" t="s">
        <v>954</v>
      </c>
      <c r="B950">
        <v>2</v>
      </c>
    </row>
    <row r="951" spans="1:2">
      <c r="A951" s="6" t="s">
        <v>955</v>
      </c>
      <c r="B951">
        <v>1</v>
      </c>
    </row>
    <row r="952" spans="1:2">
      <c r="A952" s="6" t="s">
        <v>956</v>
      </c>
      <c r="B952">
        <v>1</v>
      </c>
    </row>
    <row r="953" spans="1:2">
      <c r="A953" s="6" t="s">
        <v>957</v>
      </c>
      <c r="B953">
        <v>1</v>
      </c>
    </row>
    <row r="954" spans="1:2">
      <c r="A954" s="6" t="s">
        <v>958</v>
      </c>
      <c r="B954">
        <v>2</v>
      </c>
    </row>
    <row r="955" spans="1:2">
      <c r="A955" s="6" t="s">
        <v>959</v>
      </c>
      <c r="B955">
        <v>1</v>
      </c>
    </row>
    <row r="956" spans="1:2">
      <c r="A956" s="6" t="s">
        <v>960</v>
      </c>
      <c r="B956">
        <v>1</v>
      </c>
    </row>
    <row r="957" spans="1:2">
      <c r="A957" s="6" t="s">
        <v>961</v>
      </c>
      <c r="B957">
        <v>1</v>
      </c>
    </row>
    <row r="958" spans="1:2">
      <c r="A958" s="6" t="s">
        <v>962</v>
      </c>
      <c r="B958">
        <v>2</v>
      </c>
    </row>
    <row r="959" spans="1:2">
      <c r="A959" s="6" t="s">
        <v>963</v>
      </c>
      <c r="B959">
        <v>2</v>
      </c>
    </row>
    <row r="960" spans="1:2">
      <c r="A960" s="6" t="s">
        <v>964</v>
      </c>
      <c r="B960">
        <v>1</v>
      </c>
    </row>
    <row r="961" spans="1:2">
      <c r="A961" s="6" t="s">
        <v>965</v>
      </c>
      <c r="B961">
        <v>1</v>
      </c>
    </row>
    <row r="962" spans="1:2">
      <c r="A962" s="6" t="s">
        <v>966</v>
      </c>
      <c r="B962">
        <v>1</v>
      </c>
    </row>
    <row r="963" spans="1:2">
      <c r="A963" s="6" t="s">
        <v>967</v>
      </c>
      <c r="B963">
        <v>1</v>
      </c>
    </row>
    <row r="964" spans="1:2">
      <c r="A964" s="6" t="s">
        <v>968</v>
      </c>
      <c r="B964">
        <v>1</v>
      </c>
    </row>
    <row r="965" spans="1:2">
      <c r="A965" s="6" t="s">
        <v>969</v>
      </c>
      <c r="B965">
        <v>1</v>
      </c>
    </row>
    <row r="966" spans="1:2">
      <c r="A966" s="6" t="s">
        <v>970</v>
      </c>
      <c r="B966">
        <v>1</v>
      </c>
    </row>
    <row r="967" spans="1:2">
      <c r="A967" s="6" t="s">
        <v>971</v>
      </c>
      <c r="B967">
        <v>1</v>
      </c>
    </row>
    <row r="968" spans="1:2">
      <c r="A968" s="6" t="s">
        <v>972</v>
      </c>
      <c r="B968">
        <v>1</v>
      </c>
    </row>
    <row r="969" spans="1:2">
      <c r="A969" s="6" t="s">
        <v>973</v>
      </c>
      <c r="B969">
        <v>1</v>
      </c>
    </row>
    <row r="970" spans="1:2">
      <c r="A970" s="6" t="s">
        <v>974</v>
      </c>
      <c r="B970">
        <v>1</v>
      </c>
    </row>
    <row r="971" spans="1:2">
      <c r="A971" s="6" t="s">
        <v>975</v>
      </c>
      <c r="B971">
        <v>1</v>
      </c>
    </row>
    <row r="972" spans="1:2">
      <c r="A972" s="6" t="s">
        <v>976</v>
      </c>
      <c r="B972">
        <v>2</v>
      </c>
    </row>
    <row r="973" spans="1:2">
      <c r="A973" s="6" t="s">
        <v>977</v>
      </c>
      <c r="B973">
        <v>1</v>
      </c>
    </row>
    <row r="974" spans="1:2">
      <c r="A974" s="6" t="s">
        <v>978</v>
      </c>
      <c r="B974">
        <v>2</v>
      </c>
    </row>
    <row r="975" spans="1:2">
      <c r="A975" s="6" t="s">
        <v>979</v>
      </c>
      <c r="B975">
        <v>1</v>
      </c>
    </row>
    <row r="976" spans="1:2">
      <c r="A976" s="6" t="s">
        <v>980</v>
      </c>
      <c r="B976">
        <v>1</v>
      </c>
    </row>
    <row r="977" spans="1:2">
      <c r="A977" s="6" t="s">
        <v>981</v>
      </c>
      <c r="B977">
        <v>1</v>
      </c>
    </row>
    <row r="978" spans="1:2">
      <c r="A978" s="6" t="s">
        <v>982</v>
      </c>
      <c r="B978">
        <v>1</v>
      </c>
    </row>
    <row r="979" spans="1:2">
      <c r="A979" s="6" t="s">
        <v>983</v>
      </c>
      <c r="B979">
        <v>2</v>
      </c>
    </row>
    <row r="980" spans="1:2">
      <c r="A980" s="6" t="s">
        <v>984</v>
      </c>
      <c r="B980">
        <v>1</v>
      </c>
    </row>
    <row r="981" spans="1:2">
      <c r="A981" s="6" t="s">
        <v>985</v>
      </c>
      <c r="B981">
        <v>2</v>
      </c>
    </row>
    <row r="982" spans="1:2">
      <c r="A982" s="6" t="s">
        <v>986</v>
      </c>
      <c r="B982">
        <v>2</v>
      </c>
    </row>
    <row r="983" spans="1:2">
      <c r="A983" s="6" t="s">
        <v>987</v>
      </c>
      <c r="B983">
        <v>2</v>
      </c>
    </row>
    <row r="984" spans="1:2">
      <c r="A984" s="6" t="s">
        <v>988</v>
      </c>
      <c r="B984">
        <v>1</v>
      </c>
    </row>
    <row r="985" spans="1:2">
      <c r="A985" s="6" t="s">
        <v>989</v>
      </c>
      <c r="B985">
        <v>2</v>
      </c>
    </row>
    <row r="986" spans="1:2">
      <c r="A986" s="6" t="s">
        <v>990</v>
      </c>
      <c r="B986">
        <v>2</v>
      </c>
    </row>
    <row r="987" spans="1:2">
      <c r="A987" s="6" t="s">
        <v>991</v>
      </c>
      <c r="B987">
        <v>1</v>
      </c>
    </row>
    <row r="988" spans="1:2">
      <c r="A988" s="6" t="s">
        <v>992</v>
      </c>
      <c r="B988">
        <v>1</v>
      </c>
    </row>
    <row r="989" spans="1:2">
      <c r="A989" s="6" t="s">
        <v>993</v>
      </c>
      <c r="B989">
        <v>1</v>
      </c>
    </row>
    <row r="990" spans="1:2">
      <c r="A990" s="6" t="s">
        <v>994</v>
      </c>
      <c r="B990">
        <v>1</v>
      </c>
    </row>
    <row r="991" spans="1:2">
      <c r="A991" s="6" t="s">
        <v>995</v>
      </c>
      <c r="B991">
        <v>1</v>
      </c>
    </row>
    <row r="992" spans="1:2">
      <c r="A992" s="6" t="s">
        <v>996</v>
      </c>
      <c r="B992">
        <v>1</v>
      </c>
    </row>
    <row r="993" spans="1:2">
      <c r="A993" s="6" t="s">
        <v>997</v>
      </c>
      <c r="B993">
        <v>1</v>
      </c>
    </row>
    <row r="994" spans="1:2">
      <c r="A994" s="6" t="s">
        <v>998</v>
      </c>
      <c r="B994">
        <v>2</v>
      </c>
    </row>
    <row r="995" spans="1:2">
      <c r="A995" s="6" t="s">
        <v>999</v>
      </c>
      <c r="B995">
        <v>2</v>
      </c>
    </row>
    <row r="996" spans="1:2">
      <c r="A996" s="6" t="s">
        <v>1000</v>
      </c>
      <c r="B996">
        <v>1</v>
      </c>
    </row>
    <row r="997" spans="1:2">
      <c r="A997" s="6" t="s">
        <v>1001</v>
      </c>
      <c r="B997">
        <v>1</v>
      </c>
    </row>
    <row r="998" spans="1:2">
      <c r="A998" s="6" t="s">
        <v>1002</v>
      </c>
      <c r="B998">
        <v>1</v>
      </c>
    </row>
    <row r="999" spans="1:2">
      <c r="A999" s="6" t="s">
        <v>1003</v>
      </c>
      <c r="B999">
        <v>2</v>
      </c>
    </row>
    <row r="1000" spans="1:2">
      <c r="A1000" s="6" t="s">
        <v>1004</v>
      </c>
      <c r="B1000">
        <v>2</v>
      </c>
    </row>
    <row r="1001" spans="1:2">
      <c r="A1001" s="6" t="s">
        <v>1005</v>
      </c>
      <c r="B1001">
        <v>1</v>
      </c>
    </row>
    <row r="1002" spans="1:2">
      <c r="A1002" s="6" t="s">
        <v>1006</v>
      </c>
      <c r="B1002">
        <v>1</v>
      </c>
    </row>
    <row r="1003" spans="1:2">
      <c r="A1003" s="6" t="s">
        <v>1007</v>
      </c>
      <c r="B1003">
        <v>1</v>
      </c>
    </row>
    <row r="1004" spans="1:2">
      <c r="A1004" s="6" t="s">
        <v>1008</v>
      </c>
      <c r="B1004">
        <v>1250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F43" sqref="F43"/>
    </sheetView>
  </sheetViews>
  <sheetFormatPr defaultColWidth="9" defaultRowHeight="14.25" outlineLevelRow="6" outlineLevelCol="2"/>
  <cols>
    <col min="1" max="1" width="12.25"/>
    <col min="2" max="2" width="14.625"/>
    <col min="3" max="3" width="15.75"/>
  </cols>
  <sheetData>
    <row r="3" spans="1:3">
      <c r="A3" t="s">
        <v>1</v>
      </c>
      <c r="B3" t="s">
        <v>2</v>
      </c>
      <c r="C3" t="s">
        <v>1010</v>
      </c>
    </row>
    <row r="4" spans="1:3">
      <c r="A4" s="6" t="s">
        <v>1011</v>
      </c>
      <c r="B4" s="7">
        <v>0.355995717344754</v>
      </c>
      <c r="C4" s="1">
        <v>1995000</v>
      </c>
    </row>
    <row r="5" spans="1:3">
      <c r="A5" s="6" t="s">
        <v>1012</v>
      </c>
      <c r="B5" s="7">
        <v>0.331727337615989</v>
      </c>
      <c r="C5" s="1">
        <v>1859000</v>
      </c>
    </row>
    <row r="6" spans="1:3">
      <c r="A6" s="6" t="s">
        <v>1013</v>
      </c>
      <c r="B6" s="7">
        <v>0.312276945039258</v>
      </c>
      <c r="C6" s="1">
        <v>1750000</v>
      </c>
    </row>
    <row r="7" spans="1:3">
      <c r="A7" s="6" t="s">
        <v>1008</v>
      </c>
      <c r="B7" s="7">
        <v>1</v>
      </c>
      <c r="C7" s="1">
        <v>5604000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F43" sqref="F43"/>
    </sheetView>
  </sheetViews>
  <sheetFormatPr defaultColWidth="9" defaultRowHeight="14.25" outlineLevelCol="1"/>
  <cols>
    <col min="1" max="1" width="17.5"/>
    <col min="2" max="2" width="14.75"/>
    <col min="3" max="3" width="15.375" customWidth="1"/>
  </cols>
  <sheetData>
    <row r="3" spans="1:2">
      <c r="A3" t="s">
        <v>1</v>
      </c>
      <c r="B3" t="s">
        <v>1009</v>
      </c>
    </row>
    <row r="4" spans="1:2">
      <c r="A4" s="6" t="s">
        <v>1014</v>
      </c>
      <c r="B4">
        <v>92</v>
      </c>
    </row>
    <row r="5" spans="1:2">
      <c r="A5" s="6" t="s">
        <v>1015</v>
      </c>
      <c r="B5">
        <v>93</v>
      </c>
    </row>
    <row r="6" spans="1:2">
      <c r="A6" s="6" t="s">
        <v>1016</v>
      </c>
      <c r="B6">
        <v>94</v>
      </c>
    </row>
    <row r="7" spans="1:2">
      <c r="A7" s="6" t="s">
        <v>1017</v>
      </c>
      <c r="B7">
        <v>97</v>
      </c>
    </row>
    <row r="8" spans="1:2">
      <c r="A8" s="6" t="s">
        <v>1018</v>
      </c>
      <c r="B8">
        <v>98</v>
      </c>
    </row>
    <row r="9" spans="1:2">
      <c r="A9" s="6" t="s">
        <v>1019</v>
      </c>
      <c r="B9">
        <v>101</v>
      </c>
    </row>
    <row r="10" spans="1:2">
      <c r="A10" s="6" t="s">
        <v>1020</v>
      </c>
      <c r="B10">
        <v>105</v>
      </c>
    </row>
    <row r="11" spans="1:2">
      <c r="A11" s="6" t="s">
        <v>1021</v>
      </c>
      <c r="B11">
        <v>106</v>
      </c>
    </row>
    <row r="12" spans="1:2">
      <c r="A12" s="6" t="s">
        <v>1022</v>
      </c>
      <c r="B12">
        <v>107</v>
      </c>
    </row>
    <row r="13" spans="1:2">
      <c r="A13" s="6" t="s">
        <v>1023</v>
      </c>
      <c r="B13">
        <v>113</v>
      </c>
    </row>
    <row r="14" spans="1:2">
      <c r="A14" s="6" t="s">
        <v>1008</v>
      </c>
      <c r="B14">
        <v>1006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F43" sqref="F43"/>
    </sheetView>
  </sheetViews>
  <sheetFormatPr defaultColWidth="9" defaultRowHeight="14.25" outlineLevelRow="6" outlineLevelCol="1"/>
  <cols>
    <col min="1" max="1" width="12.25"/>
    <col min="2" max="2" width="21"/>
    <col min="3" max="3" width="8" customWidth="1"/>
    <col min="4" max="4" width="7" customWidth="1"/>
    <col min="5" max="5" width="9.875" customWidth="1"/>
    <col min="6" max="334" width="14.25" customWidth="1"/>
    <col min="335" max="335" width="13" customWidth="1"/>
    <col min="336" max="664" width="8.75" customWidth="1"/>
    <col min="665" max="665" width="11.5" customWidth="1"/>
    <col min="666" max="1002" width="8.625" customWidth="1"/>
    <col min="1003" max="1003" width="11.25" customWidth="1"/>
    <col min="1004" max="1004" width="9.875" customWidth="1"/>
  </cols>
  <sheetData>
    <row r="3" spans="1:2">
      <c r="A3" t="s">
        <v>1</v>
      </c>
      <c r="B3" t="s">
        <v>1024</v>
      </c>
    </row>
    <row r="4" spans="1:2">
      <c r="A4" s="6" t="s">
        <v>1025</v>
      </c>
      <c r="B4">
        <v>334</v>
      </c>
    </row>
    <row r="5" spans="1:2">
      <c r="A5" s="6" t="s">
        <v>1026</v>
      </c>
      <c r="B5">
        <v>329</v>
      </c>
    </row>
    <row r="6" spans="1:2">
      <c r="A6" s="6" t="s">
        <v>1027</v>
      </c>
      <c r="B6">
        <v>337</v>
      </c>
    </row>
    <row r="7" spans="1:2">
      <c r="A7" s="6" t="s">
        <v>1008</v>
      </c>
      <c r="B7">
        <v>1000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7"/>
  <sheetViews>
    <sheetView workbookViewId="0">
      <selection activeCell="F43" sqref="F43"/>
    </sheetView>
  </sheetViews>
  <sheetFormatPr defaultColWidth="9" defaultRowHeight="14.25" outlineLevelCol="2"/>
  <cols>
    <col min="1" max="1" width="12.25"/>
    <col min="2" max="2" width="14.625"/>
    <col min="3" max="3" width="17.125" customWidth="1"/>
  </cols>
  <sheetData>
    <row r="3" spans="1:3">
      <c r="A3" t="s">
        <v>1</v>
      </c>
      <c r="B3" t="s">
        <v>2</v>
      </c>
      <c r="C3" t="s">
        <v>1028</v>
      </c>
    </row>
    <row r="4" spans="1:3">
      <c r="A4" s="6" t="s">
        <v>1029</v>
      </c>
      <c r="B4" s="1">
        <v>359000</v>
      </c>
      <c r="C4">
        <f>AVERAGE(GETPIVOTDATA("Revenue",$A$3,"Months (Date)",1)/31)</f>
        <v>11580.6451612903</v>
      </c>
    </row>
    <row r="5" spans="1:2">
      <c r="A5" s="6" t="s">
        <v>1030</v>
      </c>
      <c r="B5" s="1">
        <v>455000</v>
      </c>
    </row>
    <row r="6" spans="1:2">
      <c r="A6" s="6" t="s">
        <v>1031</v>
      </c>
      <c r="B6" s="1">
        <v>486500</v>
      </c>
    </row>
    <row r="7" spans="1:2">
      <c r="A7" s="6" t="s">
        <v>1032</v>
      </c>
      <c r="B7" s="1">
        <v>530000</v>
      </c>
    </row>
    <row r="8" spans="1:2">
      <c r="A8" s="6" t="s">
        <v>1033</v>
      </c>
      <c r="B8" s="1">
        <v>550000</v>
      </c>
    </row>
    <row r="9" spans="1:2">
      <c r="A9" s="6" t="s">
        <v>1034</v>
      </c>
      <c r="B9" s="1">
        <v>425500</v>
      </c>
    </row>
    <row r="10" spans="1:2">
      <c r="A10" s="6" t="s">
        <v>1035</v>
      </c>
      <c r="B10" s="1">
        <v>456000</v>
      </c>
    </row>
    <row r="11" spans="1:2">
      <c r="A11" s="6" t="s">
        <v>1036</v>
      </c>
      <c r="B11" s="1">
        <v>461000</v>
      </c>
    </row>
    <row r="12" spans="1:2">
      <c r="A12" s="6" t="s">
        <v>1037</v>
      </c>
      <c r="B12" s="1">
        <v>459000</v>
      </c>
    </row>
    <row r="13" spans="1:2">
      <c r="A13" s="6" t="s">
        <v>1038</v>
      </c>
      <c r="B13" s="1">
        <v>513500</v>
      </c>
    </row>
    <row r="14" spans="1:2">
      <c r="A14" s="6" t="s">
        <v>1039</v>
      </c>
      <c r="B14" s="1">
        <v>382000</v>
      </c>
    </row>
    <row r="15" spans="1:2">
      <c r="A15" s="6" t="s">
        <v>1040</v>
      </c>
      <c r="B15" s="1">
        <v>526500</v>
      </c>
    </row>
    <row r="16" spans="1:2">
      <c r="A16" s="6" t="s">
        <v>1008</v>
      </c>
      <c r="B16" s="1">
        <v>5604000</v>
      </c>
    </row>
    <row r="17" spans="3:3">
      <c r="C17" s="5">
        <f>AVERAGE(C4:C15)</f>
        <v>11580.6451612903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F43" sqref="F43"/>
    </sheetView>
  </sheetViews>
  <sheetFormatPr defaultColWidth="9" defaultRowHeight="14.25" outlineLevelRow="7" outlineLevelCol="1"/>
  <cols>
    <col min="1" max="1" width="15"/>
    <col min="2" max="2" width="14.625"/>
  </cols>
  <sheetData>
    <row r="3" spans="1:2">
      <c r="A3" t="s">
        <v>1</v>
      </c>
      <c r="B3" t="s">
        <v>2</v>
      </c>
    </row>
    <row r="4" spans="1:2">
      <c r="A4" s="6" t="s">
        <v>1041</v>
      </c>
      <c r="B4" s="1">
        <v>924500</v>
      </c>
    </row>
    <row r="5" spans="1:2">
      <c r="A5" s="6" t="s">
        <v>1042</v>
      </c>
      <c r="B5" s="1">
        <v>1210000</v>
      </c>
    </row>
    <row r="6" spans="1:2">
      <c r="A6" s="6" t="s">
        <v>1043</v>
      </c>
      <c r="B6" s="1">
        <v>1220000</v>
      </c>
    </row>
    <row r="7" spans="1:2">
      <c r="A7" s="6" t="s">
        <v>1044</v>
      </c>
      <c r="B7" s="1">
        <v>2249500</v>
      </c>
    </row>
    <row r="8" spans="1:2">
      <c r="A8" s="6" t="s">
        <v>1008</v>
      </c>
      <c r="B8" s="1">
        <v>5604000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F43" sqref="F43"/>
    </sheetView>
  </sheetViews>
  <sheetFormatPr defaultColWidth="9" defaultRowHeight="14.25" outlineLevelCol="2"/>
  <cols>
    <col min="1" max="1" width="12.25"/>
    <col min="2" max="2" width="18.875"/>
    <col min="3" max="3" width="12.5"/>
  </cols>
  <sheetData>
    <row r="1" spans="1:3">
      <c r="A1" t="s">
        <v>1</v>
      </c>
      <c r="B1" t="s">
        <v>1045</v>
      </c>
      <c r="C1" t="s">
        <v>1046</v>
      </c>
    </row>
    <row r="2" spans="1:3">
      <c r="A2" s="6" t="s">
        <v>1029</v>
      </c>
      <c r="B2">
        <v>67</v>
      </c>
      <c r="C2">
        <v>67</v>
      </c>
    </row>
    <row r="3" spans="1:3">
      <c r="A3" s="6" t="s">
        <v>1030</v>
      </c>
      <c r="B3">
        <v>85</v>
      </c>
      <c r="C3">
        <v>85</v>
      </c>
    </row>
    <row r="4" spans="1:3">
      <c r="A4" s="6" t="s">
        <v>1031</v>
      </c>
      <c r="B4">
        <v>88</v>
      </c>
      <c r="C4">
        <v>88</v>
      </c>
    </row>
    <row r="5" spans="1:3">
      <c r="A5" s="6" t="s">
        <v>1032</v>
      </c>
      <c r="B5">
        <v>85</v>
      </c>
      <c r="C5">
        <v>85</v>
      </c>
    </row>
    <row r="6" spans="1:3">
      <c r="A6" s="6" t="s">
        <v>1033</v>
      </c>
      <c r="B6">
        <v>98</v>
      </c>
      <c r="C6">
        <v>98</v>
      </c>
    </row>
    <row r="7" spans="1:3">
      <c r="A7" s="6" t="s">
        <v>1034</v>
      </c>
      <c r="B7">
        <v>80</v>
      </c>
      <c r="C7">
        <v>80</v>
      </c>
    </row>
    <row r="8" spans="1:3">
      <c r="A8" s="6" t="s">
        <v>1035</v>
      </c>
      <c r="B8">
        <v>79</v>
      </c>
      <c r="C8">
        <v>79</v>
      </c>
    </row>
    <row r="9" spans="1:3">
      <c r="A9" s="6" t="s">
        <v>1036</v>
      </c>
      <c r="B9">
        <v>87</v>
      </c>
      <c r="C9">
        <v>87</v>
      </c>
    </row>
    <row r="10" spans="1:3">
      <c r="A10" s="6" t="s">
        <v>1037</v>
      </c>
      <c r="B10">
        <v>79</v>
      </c>
      <c r="C10">
        <v>79</v>
      </c>
    </row>
    <row r="11" spans="1:3">
      <c r="A11" s="6" t="s">
        <v>1038</v>
      </c>
      <c r="B11">
        <v>87</v>
      </c>
      <c r="C11">
        <v>87</v>
      </c>
    </row>
    <row r="12" spans="1:3">
      <c r="A12" s="6" t="s">
        <v>1039</v>
      </c>
      <c r="B12">
        <v>72</v>
      </c>
      <c r="C12">
        <v>72</v>
      </c>
    </row>
    <row r="13" spans="1:3">
      <c r="A13" s="6" t="s">
        <v>1040</v>
      </c>
      <c r="B13">
        <v>93</v>
      </c>
      <c r="C13">
        <v>93</v>
      </c>
    </row>
    <row r="14" spans="1:3">
      <c r="A14" s="6" t="s">
        <v>1008</v>
      </c>
      <c r="B14">
        <v>1000</v>
      </c>
      <c r="C14">
        <v>1000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1"/>
  <sheetViews>
    <sheetView workbookViewId="0">
      <selection activeCell="F43" sqref="F43"/>
    </sheetView>
  </sheetViews>
  <sheetFormatPr defaultColWidth="9" defaultRowHeight="14.25"/>
  <cols>
    <col min="1" max="1" width="15.5" customWidth="1"/>
    <col min="2" max="2" width="10.625" customWidth="1"/>
    <col min="3" max="3" width="14.25" customWidth="1"/>
    <col min="4" max="4" width="12.5" customWidth="1"/>
    <col min="5" max="5" width="16.875" customWidth="1"/>
    <col min="6" max="6" width="19.625" customWidth="1"/>
    <col min="7" max="7" width="10.75" customWidth="1"/>
    <col min="8" max="8" width="16.75" customWidth="1"/>
    <col min="9" max="9" width="19.875" customWidth="1"/>
    <col min="10" max="10" width="15.5" style="1" customWidth="1"/>
    <col min="11" max="11" width="18.75" customWidth="1"/>
    <col min="12" max="12" width="11.875" customWidth="1"/>
  </cols>
  <sheetData>
    <row r="1" spans="1:12">
      <c r="A1" t="s">
        <v>1047</v>
      </c>
      <c r="B1" s="2" t="s">
        <v>1048</v>
      </c>
      <c r="C1" t="s">
        <v>1049</v>
      </c>
      <c r="D1" t="s">
        <v>1050</v>
      </c>
      <c r="E1" t="s">
        <v>1051</v>
      </c>
      <c r="F1" t="s">
        <v>1052</v>
      </c>
      <c r="G1" t="s">
        <v>1053</v>
      </c>
      <c r="H1" s="3" t="s">
        <v>1054</v>
      </c>
      <c r="I1" s="3" t="s">
        <v>1055</v>
      </c>
      <c r="J1" s="4" t="s">
        <v>1056</v>
      </c>
      <c r="K1" t="s">
        <v>1057</v>
      </c>
      <c r="L1" s="3"/>
    </row>
    <row r="2" spans="1:12">
      <c r="A2" t="s">
        <v>515</v>
      </c>
      <c r="B2" s="2">
        <v>46022</v>
      </c>
      <c r="C2" t="s">
        <v>1026</v>
      </c>
      <c r="D2" t="s">
        <v>1013</v>
      </c>
      <c r="E2" t="s">
        <v>1043</v>
      </c>
      <c r="F2" t="s">
        <v>1021</v>
      </c>
      <c r="G2">
        <v>1</v>
      </c>
      <c r="H2" s="4">
        <v>6000</v>
      </c>
      <c r="I2" s="4">
        <v>1800</v>
      </c>
      <c r="J2" s="4">
        <v>6000</v>
      </c>
      <c r="K2" t="s">
        <v>1058</v>
      </c>
      <c r="L2" s="5"/>
    </row>
    <row r="3" spans="1:12">
      <c r="A3" t="s">
        <v>953</v>
      </c>
      <c r="B3" s="2">
        <v>46022</v>
      </c>
      <c r="C3" t="s">
        <v>1025</v>
      </c>
      <c r="D3" t="s">
        <v>1013</v>
      </c>
      <c r="E3" t="s">
        <v>1043</v>
      </c>
      <c r="F3" t="s">
        <v>1018</v>
      </c>
      <c r="G3">
        <v>1</v>
      </c>
      <c r="H3" s="4">
        <v>2500</v>
      </c>
      <c r="I3" s="4">
        <v>600</v>
      </c>
      <c r="J3" s="4">
        <v>2500</v>
      </c>
      <c r="K3" t="s">
        <v>1059</v>
      </c>
      <c r="L3" s="5"/>
    </row>
    <row r="4" spans="1:12">
      <c r="A4" t="s">
        <v>285</v>
      </c>
      <c r="B4" s="2">
        <v>46021</v>
      </c>
      <c r="C4" t="s">
        <v>1025</v>
      </c>
      <c r="D4" t="s">
        <v>1012</v>
      </c>
      <c r="E4" t="s">
        <v>1044</v>
      </c>
      <c r="F4" t="s">
        <v>1020</v>
      </c>
      <c r="G4">
        <v>2</v>
      </c>
      <c r="H4" s="4">
        <v>7500</v>
      </c>
      <c r="I4" s="4">
        <v>4400</v>
      </c>
      <c r="J4" s="4">
        <v>15000</v>
      </c>
      <c r="K4" t="s">
        <v>1058</v>
      </c>
      <c r="L4" s="5"/>
    </row>
    <row r="5" spans="1:12">
      <c r="A5" t="s">
        <v>585</v>
      </c>
      <c r="B5" s="2">
        <v>46021</v>
      </c>
      <c r="C5" t="s">
        <v>1025</v>
      </c>
      <c r="D5" t="s">
        <v>1011</v>
      </c>
      <c r="E5" t="s">
        <v>1042</v>
      </c>
      <c r="F5" t="s">
        <v>1019</v>
      </c>
      <c r="G5">
        <v>1</v>
      </c>
      <c r="H5" s="4">
        <v>3000</v>
      </c>
      <c r="I5" s="4">
        <v>800</v>
      </c>
      <c r="J5" s="4">
        <v>3000</v>
      </c>
      <c r="K5" t="s">
        <v>1058</v>
      </c>
      <c r="L5" s="5"/>
    </row>
    <row r="6" spans="1:12">
      <c r="A6" t="s">
        <v>843</v>
      </c>
      <c r="B6" s="2">
        <v>46021</v>
      </c>
      <c r="C6" t="s">
        <v>1027</v>
      </c>
      <c r="D6" t="s">
        <v>1012</v>
      </c>
      <c r="E6" t="s">
        <v>1041</v>
      </c>
      <c r="F6" t="s">
        <v>1016</v>
      </c>
      <c r="G6">
        <v>1</v>
      </c>
      <c r="H6" s="4">
        <v>3000</v>
      </c>
      <c r="I6" s="4">
        <v>800</v>
      </c>
      <c r="J6" s="4">
        <v>3000</v>
      </c>
      <c r="K6" t="s">
        <v>1060</v>
      </c>
      <c r="L6" s="5"/>
    </row>
    <row r="7" spans="1:12">
      <c r="A7" t="s">
        <v>139</v>
      </c>
      <c r="B7" s="2">
        <v>46020</v>
      </c>
      <c r="C7" t="s">
        <v>1027</v>
      </c>
      <c r="D7" t="s">
        <v>1012</v>
      </c>
      <c r="E7" t="s">
        <v>1042</v>
      </c>
      <c r="F7" t="s">
        <v>1015</v>
      </c>
      <c r="G7">
        <v>2</v>
      </c>
      <c r="H7" s="4">
        <v>4000</v>
      </c>
      <c r="I7" s="4">
        <v>2000</v>
      </c>
      <c r="J7" s="4">
        <v>8000</v>
      </c>
      <c r="K7" t="s">
        <v>1059</v>
      </c>
      <c r="L7" s="5"/>
    </row>
    <row r="8" spans="1:12">
      <c r="A8" t="s">
        <v>302</v>
      </c>
      <c r="B8" s="2">
        <v>46020</v>
      </c>
      <c r="C8" t="s">
        <v>1026</v>
      </c>
      <c r="D8" t="s">
        <v>1012</v>
      </c>
      <c r="E8" t="s">
        <v>1041</v>
      </c>
      <c r="F8" t="s">
        <v>1061</v>
      </c>
      <c r="G8">
        <v>1</v>
      </c>
      <c r="H8" s="4">
        <v>5000</v>
      </c>
      <c r="I8" s="4">
        <v>1500</v>
      </c>
      <c r="J8" s="4">
        <v>5000</v>
      </c>
      <c r="K8" t="s">
        <v>1060</v>
      </c>
      <c r="L8" s="5"/>
    </row>
    <row r="9" spans="1:12">
      <c r="A9" t="s">
        <v>408</v>
      </c>
      <c r="B9" s="2">
        <v>46020</v>
      </c>
      <c r="C9" t="s">
        <v>1025</v>
      </c>
      <c r="D9" t="s">
        <v>1012</v>
      </c>
      <c r="E9" t="s">
        <v>1043</v>
      </c>
      <c r="F9" t="s">
        <v>1018</v>
      </c>
      <c r="G9">
        <v>2</v>
      </c>
      <c r="H9" s="4">
        <v>2500</v>
      </c>
      <c r="I9" s="4">
        <v>1200</v>
      </c>
      <c r="J9" s="4">
        <v>5000</v>
      </c>
      <c r="K9" t="s">
        <v>1058</v>
      </c>
      <c r="L9" s="5"/>
    </row>
    <row r="10" spans="1:12">
      <c r="A10" t="s">
        <v>479</v>
      </c>
      <c r="B10" s="2">
        <v>46020</v>
      </c>
      <c r="C10" t="s">
        <v>1027</v>
      </c>
      <c r="D10" t="s">
        <v>1012</v>
      </c>
      <c r="E10" t="s">
        <v>1044</v>
      </c>
      <c r="F10" t="s">
        <v>1014</v>
      </c>
      <c r="G10">
        <v>1</v>
      </c>
      <c r="H10" s="4">
        <v>2500</v>
      </c>
      <c r="I10" s="4">
        <v>500</v>
      </c>
      <c r="J10" s="4">
        <v>2500</v>
      </c>
      <c r="K10" t="s">
        <v>1059</v>
      </c>
      <c r="L10" s="5"/>
    </row>
    <row r="11" spans="1:12">
      <c r="A11" t="s">
        <v>330</v>
      </c>
      <c r="B11" s="2">
        <v>46019</v>
      </c>
      <c r="C11" t="s">
        <v>1026</v>
      </c>
      <c r="D11" t="s">
        <v>1012</v>
      </c>
      <c r="E11" t="s">
        <v>1042</v>
      </c>
      <c r="F11" t="s">
        <v>1022</v>
      </c>
      <c r="G11">
        <v>1</v>
      </c>
      <c r="H11" s="4">
        <v>5000</v>
      </c>
      <c r="I11" s="4">
        <v>1500</v>
      </c>
      <c r="J11" s="4">
        <v>5000</v>
      </c>
      <c r="K11" t="s">
        <v>1060</v>
      </c>
      <c r="L11" s="5"/>
    </row>
    <row r="12" spans="1:12">
      <c r="A12" t="s">
        <v>744</v>
      </c>
      <c r="B12" s="2">
        <v>46018</v>
      </c>
      <c r="C12" t="s">
        <v>1027</v>
      </c>
      <c r="D12" t="s">
        <v>1012</v>
      </c>
      <c r="E12" t="s">
        <v>1041</v>
      </c>
      <c r="F12" t="s">
        <v>1061</v>
      </c>
      <c r="G12">
        <v>1</v>
      </c>
      <c r="H12" s="4">
        <v>5000</v>
      </c>
      <c r="I12" s="4">
        <v>1500</v>
      </c>
      <c r="J12" s="4">
        <v>5000</v>
      </c>
      <c r="K12" t="s">
        <v>1058</v>
      </c>
      <c r="L12" s="5"/>
    </row>
    <row r="13" spans="1:12">
      <c r="A13" t="s">
        <v>912</v>
      </c>
      <c r="B13" s="2">
        <v>46018</v>
      </c>
      <c r="C13" t="s">
        <v>1025</v>
      </c>
      <c r="D13" t="s">
        <v>1011</v>
      </c>
      <c r="E13" t="s">
        <v>1044</v>
      </c>
      <c r="F13" t="s">
        <v>1062</v>
      </c>
      <c r="G13">
        <v>1</v>
      </c>
      <c r="H13" s="4">
        <v>8000</v>
      </c>
      <c r="I13" s="4">
        <v>2500</v>
      </c>
      <c r="J13" s="4">
        <v>8000</v>
      </c>
      <c r="K13" t="s">
        <v>1058</v>
      </c>
      <c r="L13" s="5"/>
    </row>
    <row r="14" spans="1:12">
      <c r="A14" t="s">
        <v>21</v>
      </c>
      <c r="B14" s="2">
        <v>46017</v>
      </c>
      <c r="C14" t="s">
        <v>1025</v>
      </c>
      <c r="D14" t="s">
        <v>1011</v>
      </c>
      <c r="E14" t="s">
        <v>1042</v>
      </c>
      <c r="F14" t="s">
        <v>1015</v>
      </c>
      <c r="G14">
        <v>1</v>
      </c>
      <c r="H14" s="4">
        <v>4000</v>
      </c>
      <c r="I14" s="4">
        <v>1000</v>
      </c>
      <c r="J14" s="4">
        <v>4000</v>
      </c>
      <c r="K14" t="s">
        <v>1059</v>
      </c>
      <c r="L14" s="5"/>
    </row>
    <row r="15" spans="1:12">
      <c r="A15" t="s">
        <v>169</v>
      </c>
      <c r="B15" s="2">
        <v>46017</v>
      </c>
      <c r="C15" t="s">
        <v>1026</v>
      </c>
      <c r="D15" t="s">
        <v>1013</v>
      </c>
      <c r="E15" t="s">
        <v>1042</v>
      </c>
      <c r="F15" t="s">
        <v>1022</v>
      </c>
      <c r="G15">
        <v>1</v>
      </c>
      <c r="H15" s="4">
        <v>5000</v>
      </c>
      <c r="I15" s="4">
        <v>1500</v>
      </c>
      <c r="J15" s="4">
        <v>5000</v>
      </c>
      <c r="K15" t="s">
        <v>1060</v>
      </c>
      <c r="L15" s="5"/>
    </row>
    <row r="16" spans="1:12">
      <c r="A16" t="s">
        <v>590</v>
      </c>
      <c r="B16" s="2">
        <v>46017</v>
      </c>
      <c r="C16" t="s">
        <v>1027</v>
      </c>
      <c r="D16" t="s">
        <v>1013</v>
      </c>
      <c r="E16" t="s">
        <v>1042</v>
      </c>
      <c r="F16" t="s">
        <v>1015</v>
      </c>
      <c r="G16">
        <v>1</v>
      </c>
      <c r="H16" s="4">
        <v>4000</v>
      </c>
      <c r="I16" s="4">
        <v>1000</v>
      </c>
      <c r="J16" s="4">
        <v>4000</v>
      </c>
      <c r="K16" t="s">
        <v>1059</v>
      </c>
      <c r="L16" s="5"/>
    </row>
    <row r="17" spans="1:12">
      <c r="A17" t="s">
        <v>697</v>
      </c>
      <c r="B17" s="2">
        <v>46017</v>
      </c>
      <c r="C17" t="s">
        <v>1025</v>
      </c>
      <c r="D17" t="s">
        <v>1012</v>
      </c>
      <c r="E17" t="s">
        <v>1042</v>
      </c>
      <c r="F17" t="s">
        <v>1022</v>
      </c>
      <c r="G17">
        <v>1</v>
      </c>
      <c r="H17" s="4">
        <v>5000</v>
      </c>
      <c r="I17" s="4">
        <v>1500</v>
      </c>
      <c r="J17" s="4">
        <v>5000</v>
      </c>
      <c r="K17" t="s">
        <v>1060</v>
      </c>
      <c r="L17" s="5"/>
    </row>
    <row r="18" spans="1:12">
      <c r="A18" t="s">
        <v>829</v>
      </c>
      <c r="B18" s="2">
        <v>46017</v>
      </c>
      <c r="C18" t="s">
        <v>1027</v>
      </c>
      <c r="D18" t="s">
        <v>1013</v>
      </c>
      <c r="E18" t="s">
        <v>1043</v>
      </c>
      <c r="F18" t="s">
        <v>1018</v>
      </c>
      <c r="G18">
        <v>1</v>
      </c>
      <c r="H18" s="4">
        <v>2500</v>
      </c>
      <c r="I18" s="4">
        <v>600</v>
      </c>
      <c r="J18" s="4">
        <v>2500</v>
      </c>
      <c r="K18" t="s">
        <v>1059</v>
      </c>
      <c r="L18" s="5"/>
    </row>
    <row r="19" spans="1:12">
      <c r="A19" t="s">
        <v>840</v>
      </c>
      <c r="B19" s="2">
        <v>46017</v>
      </c>
      <c r="C19" t="s">
        <v>1025</v>
      </c>
      <c r="D19" t="s">
        <v>1012</v>
      </c>
      <c r="E19" t="s">
        <v>1042</v>
      </c>
      <c r="F19" t="s">
        <v>1022</v>
      </c>
      <c r="G19">
        <v>1</v>
      </c>
      <c r="H19" s="4">
        <v>5000</v>
      </c>
      <c r="I19" s="4">
        <v>1500</v>
      </c>
      <c r="J19" s="4">
        <v>5000</v>
      </c>
      <c r="K19" t="s">
        <v>1060</v>
      </c>
      <c r="L19" s="5"/>
    </row>
    <row r="20" spans="1:12">
      <c r="A20" t="s">
        <v>218</v>
      </c>
      <c r="B20" s="2">
        <v>46016</v>
      </c>
      <c r="C20" t="s">
        <v>1026</v>
      </c>
      <c r="D20" t="s">
        <v>1013</v>
      </c>
      <c r="E20" t="s">
        <v>1043</v>
      </c>
      <c r="F20" t="s">
        <v>1021</v>
      </c>
      <c r="G20">
        <v>1</v>
      </c>
      <c r="H20" s="4">
        <v>6000</v>
      </c>
      <c r="I20" s="4">
        <v>1800</v>
      </c>
      <c r="J20" s="4">
        <v>6000</v>
      </c>
      <c r="K20" t="s">
        <v>1060</v>
      </c>
      <c r="L20" s="5"/>
    </row>
    <row r="21" spans="1:12">
      <c r="A21" t="s">
        <v>604</v>
      </c>
      <c r="B21" s="2">
        <v>46016</v>
      </c>
      <c r="C21" t="s">
        <v>1027</v>
      </c>
      <c r="D21" t="s">
        <v>1012</v>
      </c>
      <c r="E21" t="s">
        <v>1044</v>
      </c>
      <c r="F21" t="s">
        <v>1020</v>
      </c>
      <c r="G21">
        <v>1</v>
      </c>
      <c r="H21" s="4">
        <v>7500</v>
      </c>
      <c r="I21" s="4">
        <v>2200</v>
      </c>
      <c r="J21" s="4">
        <v>7500</v>
      </c>
      <c r="K21" t="s">
        <v>1060</v>
      </c>
      <c r="L21" s="5"/>
    </row>
    <row r="22" spans="1:12">
      <c r="A22" t="s">
        <v>656</v>
      </c>
      <c r="B22" s="2">
        <v>46016</v>
      </c>
      <c r="C22" t="s">
        <v>1025</v>
      </c>
      <c r="D22" t="s">
        <v>1012</v>
      </c>
      <c r="E22" t="s">
        <v>1042</v>
      </c>
      <c r="F22" t="s">
        <v>1019</v>
      </c>
      <c r="G22">
        <v>2</v>
      </c>
      <c r="H22" s="4">
        <v>3000</v>
      </c>
      <c r="I22" s="4">
        <v>1600</v>
      </c>
      <c r="J22" s="4">
        <v>6000</v>
      </c>
      <c r="K22" t="s">
        <v>1058</v>
      </c>
      <c r="L22" s="5"/>
    </row>
    <row r="23" spans="1:12">
      <c r="A23" t="s">
        <v>198</v>
      </c>
      <c r="B23" s="2">
        <v>46015</v>
      </c>
      <c r="C23" t="s">
        <v>1027</v>
      </c>
      <c r="D23" t="s">
        <v>1011</v>
      </c>
      <c r="E23" t="s">
        <v>1044</v>
      </c>
      <c r="F23" t="s">
        <v>1062</v>
      </c>
      <c r="G23">
        <v>1</v>
      </c>
      <c r="H23" s="4">
        <v>8000</v>
      </c>
      <c r="I23" s="4">
        <v>2500</v>
      </c>
      <c r="J23" s="4">
        <v>8000</v>
      </c>
      <c r="K23" t="s">
        <v>1058</v>
      </c>
      <c r="L23" s="5"/>
    </row>
    <row r="24" spans="1:12">
      <c r="A24" t="s">
        <v>684</v>
      </c>
      <c r="B24" s="2">
        <v>46015</v>
      </c>
      <c r="C24" t="s">
        <v>1026</v>
      </c>
      <c r="D24" t="s">
        <v>1011</v>
      </c>
      <c r="E24" t="s">
        <v>1043</v>
      </c>
      <c r="F24" t="s">
        <v>1021</v>
      </c>
      <c r="G24">
        <v>1</v>
      </c>
      <c r="H24" s="4">
        <v>6000</v>
      </c>
      <c r="I24" s="4">
        <v>1800</v>
      </c>
      <c r="J24" s="4">
        <v>6000</v>
      </c>
      <c r="K24" t="s">
        <v>1059</v>
      </c>
      <c r="L24" s="5"/>
    </row>
    <row r="25" spans="1:12">
      <c r="A25" t="s">
        <v>135</v>
      </c>
      <c r="B25" s="2">
        <v>46014</v>
      </c>
      <c r="C25" t="s">
        <v>1026</v>
      </c>
      <c r="D25" t="s">
        <v>1011</v>
      </c>
      <c r="E25" t="s">
        <v>1044</v>
      </c>
      <c r="F25" t="s">
        <v>1014</v>
      </c>
      <c r="G25">
        <v>1</v>
      </c>
      <c r="H25" s="4">
        <v>2500</v>
      </c>
      <c r="I25" s="4">
        <v>500</v>
      </c>
      <c r="J25" s="4">
        <v>2500</v>
      </c>
      <c r="K25" t="s">
        <v>1060</v>
      </c>
      <c r="L25" s="5"/>
    </row>
    <row r="26" spans="1:12">
      <c r="A26" t="s">
        <v>343</v>
      </c>
      <c r="B26" s="2">
        <v>46014</v>
      </c>
      <c r="C26" t="s">
        <v>1026</v>
      </c>
      <c r="D26" t="s">
        <v>1011</v>
      </c>
      <c r="E26" t="s">
        <v>1042</v>
      </c>
      <c r="F26" t="s">
        <v>1019</v>
      </c>
      <c r="G26">
        <v>2</v>
      </c>
      <c r="H26" s="4">
        <v>3000</v>
      </c>
      <c r="I26" s="4">
        <v>1600</v>
      </c>
      <c r="J26" s="4">
        <v>6000</v>
      </c>
      <c r="K26" t="s">
        <v>1059</v>
      </c>
      <c r="L26" s="5"/>
    </row>
    <row r="27" spans="1:12">
      <c r="A27" t="s">
        <v>477</v>
      </c>
      <c r="B27" s="2">
        <v>46014</v>
      </c>
      <c r="C27" t="s">
        <v>1026</v>
      </c>
      <c r="D27" t="s">
        <v>1012</v>
      </c>
      <c r="E27" t="s">
        <v>1042</v>
      </c>
      <c r="F27" t="s">
        <v>1019</v>
      </c>
      <c r="G27">
        <v>1</v>
      </c>
      <c r="H27" s="4">
        <v>3000</v>
      </c>
      <c r="I27" s="4">
        <v>800</v>
      </c>
      <c r="J27" s="4">
        <v>3000</v>
      </c>
      <c r="K27" t="s">
        <v>1059</v>
      </c>
      <c r="L27" s="5"/>
    </row>
    <row r="28" spans="1:12">
      <c r="A28" t="s">
        <v>508</v>
      </c>
      <c r="B28" s="2">
        <v>46014</v>
      </c>
      <c r="C28" t="s">
        <v>1027</v>
      </c>
      <c r="D28" t="s">
        <v>1012</v>
      </c>
      <c r="E28" t="s">
        <v>1043</v>
      </c>
      <c r="F28" t="s">
        <v>1021</v>
      </c>
      <c r="G28">
        <v>1</v>
      </c>
      <c r="H28" s="4">
        <v>6000</v>
      </c>
      <c r="I28" s="4">
        <v>1800</v>
      </c>
      <c r="J28" s="4">
        <v>6000</v>
      </c>
      <c r="K28" t="s">
        <v>1060</v>
      </c>
      <c r="L28" s="5"/>
    </row>
    <row r="29" spans="1:12">
      <c r="A29" t="s">
        <v>365</v>
      </c>
      <c r="B29" s="2">
        <v>46013</v>
      </c>
      <c r="C29" t="s">
        <v>1026</v>
      </c>
      <c r="D29" t="s">
        <v>1013</v>
      </c>
      <c r="E29" t="s">
        <v>1043</v>
      </c>
      <c r="F29" t="s">
        <v>1021</v>
      </c>
      <c r="G29">
        <v>1</v>
      </c>
      <c r="H29" s="4">
        <v>6000</v>
      </c>
      <c r="I29" s="4">
        <v>1800</v>
      </c>
      <c r="J29" s="4">
        <v>6000</v>
      </c>
      <c r="K29" t="s">
        <v>1059</v>
      </c>
      <c r="L29" s="5"/>
    </row>
    <row r="30" spans="1:12">
      <c r="A30" t="s">
        <v>571</v>
      </c>
      <c r="B30" s="2">
        <v>46013</v>
      </c>
      <c r="C30" t="s">
        <v>1027</v>
      </c>
      <c r="D30" t="s">
        <v>1011</v>
      </c>
      <c r="E30" t="s">
        <v>1041</v>
      </c>
      <c r="F30" t="s">
        <v>1016</v>
      </c>
      <c r="G30">
        <v>1</v>
      </c>
      <c r="H30" s="4">
        <v>3000</v>
      </c>
      <c r="I30" s="4">
        <v>800</v>
      </c>
      <c r="J30" s="4">
        <v>3000</v>
      </c>
      <c r="K30" t="s">
        <v>1058</v>
      </c>
      <c r="L30" s="5"/>
    </row>
    <row r="31" spans="1:12">
      <c r="A31" t="s">
        <v>895</v>
      </c>
      <c r="B31" s="2">
        <v>46013</v>
      </c>
      <c r="C31" t="s">
        <v>1025</v>
      </c>
      <c r="D31" t="s">
        <v>1013</v>
      </c>
      <c r="E31" t="s">
        <v>1042</v>
      </c>
      <c r="F31" t="s">
        <v>1015</v>
      </c>
      <c r="G31">
        <v>1</v>
      </c>
      <c r="H31" s="4">
        <v>4000</v>
      </c>
      <c r="I31" s="4">
        <v>1000</v>
      </c>
      <c r="J31" s="4">
        <v>4000</v>
      </c>
      <c r="K31" t="s">
        <v>1060</v>
      </c>
      <c r="L31" s="5"/>
    </row>
    <row r="32" spans="1:12">
      <c r="A32" t="s">
        <v>965</v>
      </c>
      <c r="B32" s="2">
        <v>46013</v>
      </c>
      <c r="C32" t="s">
        <v>1026</v>
      </c>
      <c r="D32" t="s">
        <v>1012</v>
      </c>
      <c r="E32" t="s">
        <v>1043</v>
      </c>
      <c r="F32" t="s">
        <v>1018</v>
      </c>
      <c r="G32">
        <v>1</v>
      </c>
      <c r="H32" s="4">
        <v>2500</v>
      </c>
      <c r="I32" s="4">
        <v>600</v>
      </c>
      <c r="J32" s="4">
        <v>2500</v>
      </c>
      <c r="K32" t="s">
        <v>1060</v>
      </c>
      <c r="L32" s="5"/>
    </row>
    <row r="33" spans="1:12">
      <c r="A33" t="s">
        <v>354</v>
      </c>
      <c r="B33" s="2">
        <v>46011</v>
      </c>
      <c r="C33" t="s">
        <v>1026</v>
      </c>
      <c r="D33" t="s">
        <v>1012</v>
      </c>
      <c r="E33" t="s">
        <v>1044</v>
      </c>
      <c r="F33" t="s">
        <v>1020</v>
      </c>
      <c r="G33">
        <v>1</v>
      </c>
      <c r="H33" s="4">
        <v>7500</v>
      </c>
      <c r="I33" s="4">
        <v>2200</v>
      </c>
      <c r="J33" s="4">
        <v>7500</v>
      </c>
      <c r="K33" t="s">
        <v>1058</v>
      </c>
      <c r="L33" s="5"/>
    </row>
    <row r="34" spans="1:12">
      <c r="A34" t="s">
        <v>617</v>
      </c>
      <c r="B34" s="2">
        <v>46011</v>
      </c>
      <c r="C34" t="s">
        <v>1027</v>
      </c>
      <c r="D34" t="s">
        <v>1011</v>
      </c>
      <c r="E34" t="s">
        <v>1043</v>
      </c>
      <c r="F34" t="s">
        <v>1021</v>
      </c>
      <c r="G34">
        <v>1</v>
      </c>
      <c r="H34" s="4">
        <v>6000</v>
      </c>
      <c r="I34" s="4">
        <v>1800</v>
      </c>
      <c r="J34" s="4">
        <v>6000</v>
      </c>
      <c r="K34" t="s">
        <v>1058</v>
      </c>
      <c r="L34" s="5"/>
    </row>
    <row r="35" spans="1:12">
      <c r="A35" t="s">
        <v>410</v>
      </c>
      <c r="B35" s="2">
        <v>46010</v>
      </c>
      <c r="C35" t="s">
        <v>1025</v>
      </c>
      <c r="D35" t="s">
        <v>1013</v>
      </c>
      <c r="E35" t="s">
        <v>1043</v>
      </c>
      <c r="F35" t="s">
        <v>1021</v>
      </c>
      <c r="G35">
        <v>1</v>
      </c>
      <c r="H35" s="4">
        <v>6000</v>
      </c>
      <c r="I35" s="4">
        <v>1800</v>
      </c>
      <c r="J35" s="4">
        <v>6000</v>
      </c>
      <c r="K35" t="s">
        <v>1060</v>
      </c>
      <c r="L35" s="5"/>
    </row>
    <row r="36" spans="1:12">
      <c r="A36" t="s">
        <v>601</v>
      </c>
      <c r="B36" s="2">
        <v>46010</v>
      </c>
      <c r="C36" t="s">
        <v>1027</v>
      </c>
      <c r="D36" t="s">
        <v>1011</v>
      </c>
      <c r="E36" t="s">
        <v>1044</v>
      </c>
      <c r="F36" t="s">
        <v>1020</v>
      </c>
      <c r="G36">
        <v>1</v>
      </c>
      <c r="H36" s="4">
        <v>7500</v>
      </c>
      <c r="I36" s="4">
        <v>2200</v>
      </c>
      <c r="J36" s="4">
        <v>7500</v>
      </c>
      <c r="K36" t="s">
        <v>1058</v>
      </c>
      <c r="L36" s="5"/>
    </row>
    <row r="37" spans="1:12">
      <c r="A37" t="s">
        <v>696</v>
      </c>
      <c r="B37" s="2">
        <v>46010</v>
      </c>
      <c r="C37" t="s">
        <v>1026</v>
      </c>
      <c r="D37" t="s">
        <v>1013</v>
      </c>
      <c r="E37" t="s">
        <v>1044</v>
      </c>
      <c r="F37" t="s">
        <v>1020</v>
      </c>
      <c r="G37">
        <v>1</v>
      </c>
      <c r="H37" s="4">
        <v>7500</v>
      </c>
      <c r="I37" s="4">
        <v>2200</v>
      </c>
      <c r="J37" s="4">
        <v>7500</v>
      </c>
      <c r="K37" t="s">
        <v>1059</v>
      </c>
      <c r="L37" s="5"/>
    </row>
    <row r="38" spans="1:12">
      <c r="A38" t="s">
        <v>982</v>
      </c>
      <c r="B38" s="2">
        <v>46010</v>
      </c>
      <c r="C38" t="s">
        <v>1027</v>
      </c>
      <c r="D38" t="s">
        <v>1013</v>
      </c>
      <c r="E38" t="s">
        <v>1043</v>
      </c>
      <c r="F38" t="s">
        <v>1023</v>
      </c>
      <c r="G38">
        <v>1</v>
      </c>
      <c r="H38" s="4">
        <v>3000</v>
      </c>
      <c r="I38" s="4">
        <v>700</v>
      </c>
      <c r="J38" s="4">
        <v>3000</v>
      </c>
      <c r="K38" t="s">
        <v>1060</v>
      </c>
      <c r="L38" s="5"/>
    </row>
    <row r="39" spans="1:12">
      <c r="A39" t="s">
        <v>240</v>
      </c>
      <c r="B39" s="2">
        <v>46009</v>
      </c>
      <c r="C39" t="s">
        <v>1026</v>
      </c>
      <c r="D39" t="s">
        <v>1011</v>
      </c>
      <c r="E39" t="s">
        <v>1044</v>
      </c>
      <c r="F39" t="s">
        <v>1062</v>
      </c>
      <c r="G39">
        <v>1</v>
      </c>
      <c r="H39" s="4">
        <v>8000</v>
      </c>
      <c r="I39" s="4">
        <v>2500</v>
      </c>
      <c r="J39" s="4">
        <v>8000</v>
      </c>
      <c r="K39" t="s">
        <v>1060</v>
      </c>
      <c r="L39" s="5"/>
    </row>
    <row r="40" spans="1:12">
      <c r="A40" t="s">
        <v>446</v>
      </c>
      <c r="B40" s="2">
        <v>46009</v>
      </c>
      <c r="C40" t="s">
        <v>1025</v>
      </c>
      <c r="D40" t="s">
        <v>1011</v>
      </c>
      <c r="E40" t="s">
        <v>1041</v>
      </c>
      <c r="F40" t="s">
        <v>1016</v>
      </c>
      <c r="G40">
        <v>2</v>
      </c>
      <c r="H40" s="4">
        <v>3000</v>
      </c>
      <c r="I40" s="4">
        <v>1600</v>
      </c>
      <c r="J40" s="4">
        <v>6000</v>
      </c>
      <c r="K40" t="s">
        <v>1058</v>
      </c>
      <c r="L40" s="5"/>
    </row>
    <row r="41" spans="1:12">
      <c r="A41" t="s">
        <v>667</v>
      </c>
      <c r="B41" s="2">
        <v>46009</v>
      </c>
      <c r="C41" t="s">
        <v>1025</v>
      </c>
      <c r="D41" t="s">
        <v>1011</v>
      </c>
      <c r="E41" t="s">
        <v>1044</v>
      </c>
      <c r="F41" t="s">
        <v>1020</v>
      </c>
      <c r="G41">
        <v>1</v>
      </c>
      <c r="H41" s="4">
        <v>7500</v>
      </c>
      <c r="I41" s="4">
        <v>2200</v>
      </c>
      <c r="J41" s="4">
        <v>7500</v>
      </c>
      <c r="K41" t="s">
        <v>1059</v>
      </c>
      <c r="L41" s="5"/>
    </row>
    <row r="42" spans="1:12">
      <c r="A42" t="s">
        <v>757</v>
      </c>
      <c r="B42" s="2">
        <v>46008</v>
      </c>
      <c r="C42" t="s">
        <v>1027</v>
      </c>
      <c r="D42" t="s">
        <v>1012</v>
      </c>
      <c r="E42" t="s">
        <v>1044</v>
      </c>
      <c r="F42" t="s">
        <v>1063</v>
      </c>
      <c r="G42">
        <v>1</v>
      </c>
      <c r="H42" s="4">
        <v>7000</v>
      </c>
      <c r="I42" s="4">
        <v>2000</v>
      </c>
      <c r="J42" s="4">
        <v>7000</v>
      </c>
      <c r="K42" t="s">
        <v>1059</v>
      </c>
      <c r="L42" s="5"/>
    </row>
    <row r="43" spans="1:12">
      <c r="A43" t="s">
        <v>811</v>
      </c>
      <c r="B43" s="2">
        <v>46008</v>
      </c>
      <c r="C43" t="s">
        <v>1025</v>
      </c>
      <c r="D43" t="s">
        <v>1013</v>
      </c>
      <c r="E43" t="s">
        <v>1043</v>
      </c>
      <c r="F43" t="s">
        <v>1021</v>
      </c>
      <c r="G43">
        <v>1</v>
      </c>
      <c r="H43" s="4">
        <v>6000</v>
      </c>
      <c r="I43" s="4">
        <v>1800</v>
      </c>
      <c r="J43" s="4">
        <v>6000</v>
      </c>
      <c r="K43" t="s">
        <v>1058</v>
      </c>
      <c r="L43" s="5"/>
    </row>
    <row r="44" spans="1:12">
      <c r="A44" t="s">
        <v>33</v>
      </c>
      <c r="B44" s="2">
        <v>46007</v>
      </c>
      <c r="C44" t="s">
        <v>1025</v>
      </c>
      <c r="D44" t="s">
        <v>1012</v>
      </c>
      <c r="E44" t="s">
        <v>1042</v>
      </c>
      <c r="F44" t="s">
        <v>1015</v>
      </c>
      <c r="G44">
        <v>1</v>
      </c>
      <c r="H44" s="4">
        <v>4000</v>
      </c>
      <c r="I44" s="4">
        <v>1000</v>
      </c>
      <c r="J44" s="4">
        <v>4000</v>
      </c>
      <c r="K44" t="s">
        <v>1060</v>
      </c>
      <c r="L44" s="5"/>
    </row>
    <row r="45" spans="1:12">
      <c r="A45" t="s">
        <v>541</v>
      </c>
      <c r="B45" s="2">
        <v>46007</v>
      </c>
      <c r="C45" t="s">
        <v>1025</v>
      </c>
      <c r="D45" t="s">
        <v>1013</v>
      </c>
      <c r="E45" t="s">
        <v>1043</v>
      </c>
      <c r="F45" t="s">
        <v>1021</v>
      </c>
      <c r="G45">
        <v>1</v>
      </c>
      <c r="H45" s="4">
        <v>6000</v>
      </c>
      <c r="I45" s="4">
        <v>1800</v>
      </c>
      <c r="J45" s="4">
        <v>6000</v>
      </c>
      <c r="K45" t="s">
        <v>1060</v>
      </c>
      <c r="L45" s="5"/>
    </row>
    <row r="46" spans="1:12">
      <c r="A46" t="s">
        <v>943</v>
      </c>
      <c r="B46" s="2">
        <v>46006</v>
      </c>
      <c r="C46" t="s">
        <v>1026</v>
      </c>
      <c r="D46" t="s">
        <v>1013</v>
      </c>
      <c r="E46" t="s">
        <v>1044</v>
      </c>
      <c r="F46" t="s">
        <v>1062</v>
      </c>
      <c r="G46">
        <v>1</v>
      </c>
      <c r="H46" s="4">
        <v>8000</v>
      </c>
      <c r="I46" s="4">
        <v>2500</v>
      </c>
      <c r="J46" s="4">
        <v>8000</v>
      </c>
      <c r="K46" t="s">
        <v>1058</v>
      </c>
      <c r="L46" s="5"/>
    </row>
    <row r="47" spans="1:12">
      <c r="A47" t="s">
        <v>89</v>
      </c>
      <c r="B47" s="2">
        <v>46005</v>
      </c>
      <c r="C47" t="s">
        <v>1025</v>
      </c>
      <c r="D47" t="s">
        <v>1012</v>
      </c>
      <c r="E47" t="s">
        <v>1044</v>
      </c>
      <c r="F47" t="s">
        <v>1062</v>
      </c>
      <c r="G47">
        <v>2</v>
      </c>
      <c r="H47" s="4">
        <v>8000</v>
      </c>
      <c r="I47" s="4">
        <v>5000</v>
      </c>
      <c r="J47" s="4">
        <v>16000</v>
      </c>
      <c r="K47" t="s">
        <v>1059</v>
      </c>
      <c r="L47" s="5"/>
    </row>
    <row r="48" spans="1:12">
      <c r="A48" t="s">
        <v>304</v>
      </c>
      <c r="B48" s="2">
        <v>46005</v>
      </c>
      <c r="C48" t="s">
        <v>1025</v>
      </c>
      <c r="D48" t="s">
        <v>1013</v>
      </c>
      <c r="E48" t="s">
        <v>1044</v>
      </c>
      <c r="F48" t="s">
        <v>1020</v>
      </c>
      <c r="G48">
        <v>1</v>
      </c>
      <c r="H48" s="4">
        <v>7500</v>
      </c>
      <c r="I48" s="4">
        <v>2200</v>
      </c>
      <c r="J48" s="4">
        <v>7500</v>
      </c>
      <c r="K48" t="s">
        <v>1060</v>
      </c>
      <c r="L48" s="5"/>
    </row>
    <row r="49" spans="1:12">
      <c r="A49" t="s">
        <v>360</v>
      </c>
      <c r="B49" s="2">
        <v>46005</v>
      </c>
      <c r="C49" t="s">
        <v>1026</v>
      </c>
      <c r="D49" t="s">
        <v>1012</v>
      </c>
      <c r="E49" t="s">
        <v>1043</v>
      </c>
      <c r="F49" t="s">
        <v>1021</v>
      </c>
      <c r="G49">
        <v>1</v>
      </c>
      <c r="H49" s="4">
        <v>6000</v>
      </c>
      <c r="I49" s="4">
        <v>1800</v>
      </c>
      <c r="J49" s="4">
        <v>6000</v>
      </c>
      <c r="K49" t="s">
        <v>1058</v>
      </c>
      <c r="L49" s="5"/>
    </row>
    <row r="50" spans="1:12">
      <c r="A50" t="s">
        <v>98</v>
      </c>
      <c r="B50" s="2">
        <v>46004</v>
      </c>
      <c r="C50" t="s">
        <v>1025</v>
      </c>
      <c r="D50" t="s">
        <v>1013</v>
      </c>
      <c r="E50" t="s">
        <v>1042</v>
      </c>
      <c r="F50" t="s">
        <v>1015</v>
      </c>
      <c r="G50">
        <v>2</v>
      </c>
      <c r="H50" s="4">
        <v>4000</v>
      </c>
      <c r="I50" s="4">
        <v>2000</v>
      </c>
      <c r="J50" s="4">
        <v>8000</v>
      </c>
      <c r="K50" t="s">
        <v>1060</v>
      </c>
      <c r="L50" s="5"/>
    </row>
    <row r="51" spans="1:12">
      <c r="A51" t="s">
        <v>228</v>
      </c>
      <c r="B51" s="2">
        <v>46004</v>
      </c>
      <c r="C51" t="s">
        <v>1025</v>
      </c>
      <c r="D51" t="s">
        <v>1011</v>
      </c>
      <c r="E51" t="s">
        <v>1042</v>
      </c>
      <c r="F51" t="s">
        <v>1019</v>
      </c>
      <c r="G51">
        <v>1</v>
      </c>
      <c r="H51" s="4">
        <v>3000</v>
      </c>
      <c r="I51" s="4">
        <v>800</v>
      </c>
      <c r="J51" s="4">
        <v>3000</v>
      </c>
      <c r="K51" t="s">
        <v>1058</v>
      </c>
      <c r="L51" s="5"/>
    </row>
    <row r="52" spans="1:12">
      <c r="A52" t="s">
        <v>803</v>
      </c>
      <c r="B52" s="2">
        <v>46004</v>
      </c>
      <c r="C52" t="s">
        <v>1026</v>
      </c>
      <c r="D52" t="s">
        <v>1012</v>
      </c>
      <c r="E52" t="s">
        <v>1044</v>
      </c>
      <c r="F52" t="s">
        <v>1063</v>
      </c>
      <c r="G52">
        <v>1</v>
      </c>
      <c r="H52" s="4">
        <v>7000</v>
      </c>
      <c r="I52" s="4">
        <v>2000</v>
      </c>
      <c r="J52" s="4">
        <v>7000</v>
      </c>
      <c r="K52" t="s">
        <v>1060</v>
      </c>
      <c r="L52" s="5"/>
    </row>
    <row r="53" spans="1:12">
      <c r="A53" t="s">
        <v>968</v>
      </c>
      <c r="B53" s="2">
        <v>46004</v>
      </c>
      <c r="C53" t="s">
        <v>1025</v>
      </c>
      <c r="D53" t="s">
        <v>1013</v>
      </c>
      <c r="E53" t="s">
        <v>1044</v>
      </c>
      <c r="F53" t="s">
        <v>1020</v>
      </c>
      <c r="G53">
        <v>1</v>
      </c>
      <c r="H53" s="4">
        <v>7500</v>
      </c>
      <c r="I53" s="4">
        <v>2200</v>
      </c>
      <c r="J53" s="4">
        <v>7500</v>
      </c>
      <c r="K53" t="s">
        <v>1058</v>
      </c>
      <c r="L53" s="5"/>
    </row>
    <row r="54" spans="1:12">
      <c r="A54" t="s">
        <v>62</v>
      </c>
      <c r="B54" s="2">
        <v>46003</v>
      </c>
      <c r="C54" t="s">
        <v>1027</v>
      </c>
      <c r="D54" t="s">
        <v>1012</v>
      </c>
      <c r="E54" t="s">
        <v>1041</v>
      </c>
      <c r="F54" t="s">
        <v>1017</v>
      </c>
      <c r="G54">
        <v>1</v>
      </c>
      <c r="H54" s="4">
        <v>2500</v>
      </c>
      <c r="I54" s="4">
        <v>700</v>
      </c>
      <c r="J54" s="4">
        <v>2500</v>
      </c>
      <c r="K54" t="s">
        <v>1059</v>
      </c>
      <c r="L54" s="5"/>
    </row>
    <row r="55" spans="1:12">
      <c r="A55" t="s">
        <v>844</v>
      </c>
      <c r="B55" s="2">
        <v>46003</v>
      </c>
      <c r="C55" t="s">
        <v>1025</v>
      </c>
      <c r="D55" t="s">
        <v>1011</v>
      </c>
      <c r="E55" t="s">
        <v>1043</v>
      </c>
      <c r="F55" t="s">
        <v>1023</v>
      </c>
      <c r="G55">
        <v>2</v>
      </c>
      <c r="H55" s="4">
        <v>3000</v>
      </c>
      <c r="I55" s="4">
        <v>1400</v>
      </c>
      <c r="J55" s="4">
        <v>6000</v>
      </c>
      <c r="K55" t="s">
        <v>1058</v>
      </c>
      <c r="L55" s="5"/>
    </row>
    <row r="56" spans="1:12">
      <c r="A56" t="s">
        <v>177</v>
      </c>
      <c r="B56" s="2">
        <v>46002</v>
      </c>
      <c r="C56" t="s">
        <v>1026</v>
      </c>
      <c r="D56" t="s">
        <v>1011</v>
      </c>
      <c r="E56" t="s">
        <v>1043</v>
      </c>
      <c r="F56" t="s">
        <v>1021</v>
      </c>
      <c r="G56">
        <v>1</v>
      </c>
      <c r="H56" s="4">
        <v>6000</v>
      </c>
      <c r="I56" s="4">
        <v>1800</v>
      </c>
      <c r="J56" s="4">
        <v>6000</v>
      </c>
      <c r="K56" t="s">
        <v>1059</v>
      </c>
      <c r="L56" s="5"/>
    </row>
    <row r="57" spans="1:12">
      <c r="A57" t="s">
        <v>543</v>
      </c>
      <c r="B57" s="2">
        <v>46002</v>
      </c>
      <c r="C57" t="s">
        <v>1026</v>
      </c>
      <c r="D57" t="s">
        <v>1013</v>
      </c>
      <c r="E57" t="s">
        <v>1042</v>
      </c>
      <c r="F57" t="s">
        <v>1019</v>
      </c>
      <c r="G57">
        <v>2</v>
      </c>
      <c r="H57" s="4">
        <v>3000</v>
      </c>
      <c r="I57" s="4">
        <v>1600</v>
      </c>
      <c r="J57" s="4">
        <v>6000</v>
      </c>
      <c r="K57" t="s">
        <v>1060</v>
      </c>
      <c r="L57" s="5"/>
    </row>
    <row r="58" spans="1:12">
      <c r="A58" t="s">
        <v>842</v>
      </c>
      <c r="B58" s="2">
        <v>46002</v>
      </c>
      <c r="C58" t="s">
        <v>1027</v>
      </c>
      <c r="D58" t="s">
        <v>1011</v>
      </c>
      <c r="E58" t="s">
        <v>1044</v>
      </c>
      <c r="F58" t="s">
        <v>1063</v>
      </c>
      <c r="G58">
        <v>1</v>
      </c>
      <c r="H58" s="4">
        <v>7000</v>
      </c>
      <c r="I58" s="4">
        <v>2000</v>
      </c>
      <c r="J58" s="4">
        <v>7000</v>
      </c>
      <c r="K58" t="s">
        <v>1060</v>
      </c>
      <c r="L58" s="5"/>
    </row>
    <row r="59" spans="1:12">
      <c r="A59" t="s">
        <v>263</v>
      </c>
      <c r="B59" s="2">
        <v>46001</v>
      </c>
      <c r="C59" t="s">
        <v>1027</v>
      </c>
      <c r="D59" t="s">
        <v>1012</v>
      </c>
      <c r="E59" t="s">
        <v>1043</v>
      </c>
      <c r="F59" t="s">
        <v>1021</v>
      </c>
      <c r="G59">
        <v>1</v>
      </c>
      <c r="H59" s="4">
        <v>6000</v>
      </c>
      <c r="I59" s="4">
        <v>1800</v>
      </c>
      <c r="J59" s="4">
        <v>6000</v>
      </c>
      <c r="K59" t="s">
        <v>1058</v>
      </c>
      <c r="L59" s="5"/>
    </row>
    <row r="60" spans="1:12">
      <c r="A60" t="s">
        <v>764</v>
      </c>
      <c r="B60" s="2">
        <v>46001</v>
      </c>
      <c r="C60" t="s">
        <v>1026</v>
      </c>
      <c r="D60" t="s">
        <v>1011</v>
      </c>
      <c r="E60" t="s">
        <v>1042</v>
      </c>
      <c r="F60" t="s">
        <v>1015</v>
      </c>
      <c r="G60">
        <v>2</v>
      </c>
      <c r="H60" s="4">
        <v>4000</v>
      </c>
      <c r="I60" s="4">
        <v>2000</v>
      </c>
      <c r="J60" s="4">
        <v>8000</v>
      </c>
      <c r="K60" t="s">
        <v>1058</v>
      </c>
      <c r="L60" s="5"/>
    </row>
    <row r="61" spans="1:12">
      <c r="A61" t="s">
        <v>846</v>
      </c>
      <c r="B61" s="2">
        <v>46001</v>
      </c>
      <c r="C61" t="s">
        <v>1027</v>
      </c>
      <c r="D61" t="s">
        <v>1013</v>
      </c>
      <c r="E61" t="s">
        <v>1041</v>
      </c>
      <c r="F61" t="s">
        <v>1016</v>
      </c>
      <c r="G61">
        <v>1</v>
      </c>
      <c r="H61" s="4">
        <v>3000</v>
      </c>
      <c r="I61" s="4">
        <v>800</v>
      </c>
      <c r="J61" s="4">
        <v>3000</v>
      </c>
      <c r="K61" t="s">
        <v>1058</v>
      </c>
      <c r="L61" s="5"/>
    </row>
    <row r="62" spans="1:12">
      <c r="A62" t="s">
        <v>48</v>
      </c>
      <c r="B62" s="2">
        <v>46000</v>
      </c>
      <c r="C62" t="s">
        <v>1026</v>
      </c>
      <c r="D62" t="s">
        <v>1013</v>
      </c>
      <c r="E62" t="s">
        <v>1044</v>
      </c>
      <c r="F62" t="s">
        <v>1014</v>
      </c>
      <c r="G62">
        <v>1</v>
      </c>
      <c r="H62" s="4">
        <v>2500</v>
      </c>
      <c r="I62" s="4">
        <v>500</v>
      </c>
      <c r="J62" s="4">
        <v>2500</v>
      </c>
      <c r="K62" t="s">
        <v>1060</v>
      </c>
      <c r="L62" s="5"/>
    </row>
    <row r="63" spans="1:12">
      <c r="A63" t="s">
        <v>814</v>
      </c>
      <c r="B63" s="2">
        <v>46000</v>
      </c>
      <c r="C63" t="s">
        <v>1026</v>
      </c>
      <c r="D63" t="s">
        <v>1011</v>
      </c>
      <c r="E63" t="s">
        <v>1042</v>
      </c>
      <c r="F63" t="s">
        <v>1019</v>
      </c>
      <c r="G63">
        <v>1</v>
      </c>
      <c r="H63" s="4">
        <v>3000</v>
      </c>
      <c r="I63" s="4">
        <v>800</v>
      </c>
      <c r="J63" s="4">
        <v>3000</v>
      </c>
      <c r="K63" t="s">
        <v>1060</v>
      </c>
      <c r="L63" s="5"/>
    </row>
    <row r="64" spans="1:12">
      <c r="A64" t="s">
        <v>910</v>
      </c>
      <c r="B64" s="2">
        <v>46000</v>
      </c>
      <c r="C64" t="s">
        <v>1027</v>
      </c>
      <c r="D64" t="s">
        <v>1011</v>
      </c>
      <c r="E64" t="s">
        <v>1044</v>
      </c>
      <c r="F64" t="s">
        <v>1014</v>
      </c>
      <c r="G64">
        <v>1</v>
      </c>
      <c r="H64" s="4">
        <v>2500</v>
      </c>
      <c r="I64" s="4">
        <v>500</v>
      </c>
      <c r="J64" s="4">
        <v>2500</v>
      </c>
      <c r="K64" t="s">
        <v>1058</v>
      </c>
      <c r="L64" s="5"/>
    </row>
    <row r="65" spans="1:12">
      <c r="A65" t="s">
        <v>71</v>
      </c>
      <c r="B65" s="2">
        <v>45999</v>
      </c>
      <c r="C65" t="s">
        <v>1025</v>
      </c>
      <c r="D65" t="s">
        <v>1012</v>
      </c>
      <c r="E65" t="s">
        <v>1043</v>
      </c>
      <c r="F65" t="s">
        <v>1021</v>
      </c>
      <c r="G65">
        <v>1</v>
      </c>
      <c r="H65" s="4">
        <v>6000</v>
      </c>
      <c r="I65" s="4">
        <v>1800</v>
      </c>
      <c r="J65" s="4">
        <v>6000</v>
      </c>
      <c r="K65" t="s">
        <v>1060</v>
      </c>
      <c r="L65" s="5"/>
    </row>
    <row r="66" spans="1:12">
      <c r="A66" t="s">
        <v>96</v>
      </c>
      <c r="B66" s="2">
        <v>45999</v>
      </c>
      <c r="C66" t="s">
        <v>1026</v>
      </c>
      <c r="D66" t="s">
        <v>1012</v>
      </c>
      <c r="E66" t="s">
        <v>1043</v>
      </c>
      <c r="F66" t="s">
        <v>1018</v>
      </c>
      <c r="G66">
        <v>1</v>
      </c>
      <c r="H66" s="4">
        <v>2500</v>
      </c>
      <c r="I66" s="4">
        <v>600</v>
      </c>
      <c r="J66" s="4">
        <v>2500</v>
      </c>
      <c r="K66" t="s">
        <v>1058</v>
      </c>
      <c r="L66" s="5"/>
    </row>
    <row r="67" spans="1:12">
      <c r="A67" t="s">
        <v>367</v>
      </c>
      <c r="B67" s="2">
        <v>45999</v>
      </c>
      <c r="C67" t="s">
        <v>1026</v>
      </c>
      <c r="D67" t="s">
        <v>1011</v>
      </c>
      <c r="E67" t="s">
        <v>1041</v>
      </c>
      <c r="F67" t="s">
        <v>1017</v>
      </c>
      <c r="G67">
        <v>1</v>
      </c>
      <c r="H67" s="4">
        <v>2500</v>
      </c>
      <c r="I67" s="4">
        <v>700</v>
      </c>
      <c r="J67" s="4">
        <v>2500</v>
      </c>
      <c r="K67" t="s">
        <v>1059</v>
      </c>
      <c r="L67" s="5"/>
    </row>
    <row r="68" spans="1:12">
      <c r="A68" t="s">
        <v>445</v>
      </c>
      <c r="B68" s="2">
        <v>45999</v>
      </c>
      <c r="C68" t="s">
        <v>1027</v>
      </c>
      <c r="D68" t="s">
        <v>1012</v>
      </c>
      <c r="E68" t="s">
        <v>1044</v>
      </c>
      <c r="F68" t="s">
        <v>1014</v>
      </c>
      <c r="G68">
        <v>1</v>
      </c>
      <c r="H68" s="4">
        <v>2500</v>
      </c>
      <c r="I68" s="4">
        <v>500</v>
      </c>
      <c r="J68" s="4">
        <v>2500</v>
      </c>
      <c r="K68" t="s">
        <v>1058</v>
      </c>
      <c r="L68" s="5"/>
    </row>
    <row r="69" spans="1:12">
      <c r="A69" t="s">
        <v>603</v>
      </c>
      <c r="B69" s="2">
        <v>45998</v>
      </c>
      <c r="C69" t="s">
        <v>1025</v>
      </c>
      <c r="D69" t="s">
        <v>1013</v>
      </c>
      <c r="E69" t="s">
        <v>1041</v>
      </c>
      <c r="F69" t="s">
        <v>1017</v>
      </c>
      <c r="G69">
        <v>1</v>
      </c>
      <c r="H69" s="4">
        <v>2500</v>
      </c>
      <c r="I69" s="4">
        <v>700</v>
      </c>
      <c r="J69" s="4">
        <v>2500</v>
      </c>
      <c r="K69" t="s">
        <v>1059</v>
      </c>
      <c r="L69" s="5"/>
    </row>
    <row r="70" spans="1:12">
      <c r="A70" t="s">
        <v>95</v>
      </c>
      <c r="B70" s="2">
        <v>45997</v>
      </c>
      <c r="C70" t="s">
        <v>1027</v>
      </c>
      <c r="D70" t="s">
        <v>1011</v>
      </c>
      <c r="E70" t="s">
        <v>1044</v>
      </c>
      <c r="F70" t="s">
        <v>1062</v>
      </c>
      <c r="G70">
        <v>1</v>
      </c>
      <c r="H70" s="4">
        <v>8000</v>
      </c>
      <c r="I70" s="4">
        <v>2500</v>
      </c>
      <c r="J70" s="4">
        <v>8000</v>
      </c>
      <c r="K70" t="s">
        <v>1058</v>
      </c>
      <c r="L70" s="5"/>
    </row>
    <row r="71" spans="1:12">
      <c r="A71" t="s">
        <v>182</v>
      </c>
      <c r="B71" s="2">
        <v>45997</v>
      </c>
      <c r="C71" t="s">
        <v>1026</v>
      </c>
      <c r="D71" t="s">
        <v>1011</v>
      </c>
      <c r="E71" t="s">
        <v>1043</v>
      </c>
      <c r="F71" t="s">
        <v>1023</v>
      </c>
      <c r="G71">
        <v>1</v>
      </c>
      <c r="H71" s="4">
        <v>3000</v>
      </c>
      <c r="I71" s="4">
        <v>700</v>
      </c>
      <c r="J71" s="4">
        <v>3000</v>
      </c>
      <c r="K71" t="s">
        <v>1059</v>
      </c>
      <c r="L71" s="5"/>
    </row>
    <row r="72" spans="1:12">
      <c r="A72" t="s">
        <v>242</v>
      </c>
      <c r="B72" s="2">
        <v>45997</v>
      </c>
      <c r="C72" t="s">
        <v>1027</v>
      </c>
      <c r="D72" t="s">
        <v>1011</v>
      </c>
      <c r="E72" t="s">
        <v>1043</v>
      </c>
      <c r="F72" t="s">
        <v>1023</v>
      </c>
      <c r="G72">
        <v>1</v>
      </c>
      <c r="H72" s="4">
        <v>3000</v>
      </c>
      <c r="I72" s="4">
        <v>700</v>
      </c>
      <c r="J72" s="4">
        <v>3000</v>
      </c>
      <c r="K72" t="s">
        <v>1060</v>
      </c>
      <c r="L72" s="5"/>
    </row>
    <row r="73" spans="1:12">
      <c r="A73" t="s">
        <v>417</v>
      </c>
      <c r="B73" s="2">
        <v>45997</v>
      </c>
      <c r="C73" t="s">
        <v>1026</v>
      </c>
      <c r="D73" t="s">
        <v>1011</v>
      </c>
      <c r="E73" t="s">
        <v>1044</v>
      </c>
      <c r="F73" t="s">
        <v>1014</v>
      </c>
      <c r="G73">
        <v>1</v>
      </c>
      <c r="H73" s="4">
        <v>2500</v>
      </c>
      <c r="I73" s="4">
        <v>500</v>
      </c>
      <c r="J73" s="4">
        <v>2500</v>
      </c>
      <c r="K73" t="s">
        <v>1058</v>
      </c>
      <c r="L73" s="5"/>
    </row>
    <row r="74" spans="1:12">
      <c r="A74" t="s">
        <v>816</v>
      </c>
      <c r="B74" s="2">
        <v>45997</v>
      </c>
      <c r="C74" t="s">
        <v>1025</v>
      </c>
      <c r="D74" t="s">
        <v>1011</v>
      </c>
      <c r="E74" t="s">
        <v>1043</v>
      </c>
      <c r="F74" t="s">
        <v>1023</v>
      </c>
      <c r="G74">
        <v>1</v>
      </c>
      <c r="H74" s="4">
        <v>3000</v>
      </c>
      <c r="I74" s="4">
        <v>700</v>
      </c>
      <c r="J74" s="4">
        <v>3000</v>
      </c>
      <c r="K74" t="s">
        <v>1058</v>
      </c>
      <c r="L74" s="5"/>
    </row>
    <row r="75" spans="1:12">
      <c r="A75" t="s">
        <v>315</v>
      </c>
      <c r="B75" s="2">
        <v>45996</v>
      </c>
      <c r="C75" t="s">
        <v>1026</v>
      </c>
      <c r="D75" t="s">
        <v>1011</v>
      </c>
      <c r="E75" t="s">
        <v>1043</v>
      </c>
      <c r="F75" t="s">
        <v>1018</v>
      </c>
      <c r="G75">
        <v>1</v>
      </c>
      <c r="H75" s="4">
        <v>2500</v>
      </c>
      <c r="I75" s="4">
        <v>600</v>
      </c>
      <c r="J75" s="4">
        <v>2500</v>
      </c>
      <c r="K75" t="s">
        <v>1059</v>
      </c>
      <c r="L75" s="5"/>
    </row>
    <row r="76" spans="1:12">
      <c r="A76" t="s">
        <v>712</v>
      </c>
      <c r="B76" s="2">
        <v>45996</v>
      </c>
      <c r="C76" t="s">
        <v>1026</v>
      </c>
      <c r="D76" t="s">
        <v>1012</v>
      </c>
      <c r="E76" t="s">
        <v>1044</v>
      </c>
      <c r="F76" t="s">
        <v>1020</v>
      </c>
      <c r="G76">
        <v>1</v>
      </c>
      <c r="H76" s="4">
        <v>7500</v>
      </c>
      <c r="I76" s="4">
        <v>2200</v>
      </c>
      <c r="J76" s="4">
        <v>7500</v>
      </c>
      <c r="K76" t="s">
        <v>1059</v>
      </c>
      <c r="L76" s="5"/>
    </row>
    <row r="77" spans="1:12">
      <c r="A77" t="s">
        <v>760</v>
      </c>
      <c r="B77" s="2">
        <v>45996</v>
      </c>
      <c r="C77" t="s">
        <v>1026</v>
      </c>
      <c r="D77" t="s">
        <v>1011</v>
      </c>
      <c r="E77" t="s">
        <v>1041</v>
      </c>
      <c r="F77" t="s">
        <v>1061</v>
      </c>
      <c r="G77">
        <v>2</v>
      </c>
      <c r="H77" s="4">
        <v>5000</v>
      </c>
      <c r="I77" s="4">
        <v>3000</v>
      </c>
      <c r="J77" s="4">
        <v>10000</v>
      </c>
      <c r="K77" t="s">
        <v>1059</v>
      </c>
      <c r="L77" s="5"/>
    </row>
    <row r="78" spans="1:12">
      <c r="A78" t="s">
        <v>919</v>
      </c>
      <c r="B78" s="2">
        <v>45996</v>
      </c>
      <c r="C78" t="s">
        <v>1027</v>
      </c>
      <c r="D78" t="s">
        <v>1012</v>
      </c>
      <c r="E78" t="s">
        <v>1044</v>
      </c>
      <c r="F78" t="s">
        <v>1062</v>
      </c>
      <c r="G78">
        <v>1</v>
      </c>
      <c r="H78" s="4">
        <v>8000</v>
      </c>
      <c r="I78" s="4">
        <v>2500</v>
      </c>
      <c r="J78" s="4">
        <v>8000</v>
      </c>
      <c r="K78" t="s">
        <v>1058</v>
      </c>
      <c r="L78" s="5"/>
    </row>
    <row r="79" spans="1:12">
      <c r="A79" t="s">
        <v>925</v>
      </c>
      <c r="B79" s="2">
        <v>45996</v>
      </c>
      <c r="C79" t="s">
        <v>1026</v>
      </c>
      <c r="D79" t="s">
        <v>1013</v>
      </c>
      <c r="E79" t="s">
        <v>1042</v>
      </c>
      <c r="F79" t="s">
        <v>1015</v>
      </c>
      <c r="G79">
        <v>1</v>
      </c>
      <c r="H79" s="4">
        <v>4000</v>
      </c>
      <c r="I79" s="4">
        <v>1000</v>
      </c>
      <c r="J79" s="4">
        <v>4000</v>
      </c>
      <c r="K79" t="s">
        <v>1059</v>
      </c>
      <c r="L79" s="5"/>
    </row>
    <row r="80" spans="1:12">
      <c r="A80" t="s">
        <v>1005</v>
      </c>
      <c r="B80" s="2">
        <v>45996</v>
      </c>
      <c r="C80" t="s">
        <v>1026</v>
      </c>
      <c r="D80" t="s">
        <v>1011</v>
      </c>
      <c r="E80" t="s">
        <v>1041</v>
      </c>
      <c r="F80" t="s">
        <v>1016</v>
      </c>
      <c r="G80">
        <v>1</v>
      </c>
      <c r="H80" s="4">
        <v>3000</v>
      </c>
      <c r="I80" s="4">
        <v>800</v>
      </c>
      <c r="J80" s="4">
        <v>3000</v>
      </c>
      <c r="K80" t="s">
        <v>1060</v>
      </c>
      <c r="L80" s="5"/>
    </row>
    <row r="81" spans="1:12">
      <c r="A81" t="s">
        <v>50</v>
      </c>
      <c r="B81" s="2">
        <v>45995</v>
      </c>
      <c r="C81" t="s">
        <v>1026</v>
      </c>
      <c r="D81" t="s">
        <v>1012</v>
      </c>
      <c r="E81" t="s">
        <v>1041</v>
      </c>
      <c r="F81" t="s">
        <v>1017</v>
      </c>
      <c r="G81">
        <v>1</v>
      </c>
      <c r="H81" s="4">
        <v>2500</v>
      </c>
      <c r="I81" s="4">
        <v>700</v>
      </c>
      <c r="J81" s="4">
        <v>2500</v>
      </c>
      <c r="K81" t="s">
        <v>1058</v>
      </c>
      <c r="L81" s="5"/>
    </row>
    <row r="82" spans="1:12">
      <c r="A82" t="s">
        <v>502</v>
      </c>
      <c r="B82" s="2">
        <v>45995</v>
      </c>
      <c r="C82" t="s">
        <v>1026</v>
      </c>
      <c r="D82" t="s">
        <v>1013</v>
      </c>
      <c r="E82" t="s">
        <v>1041</v>
      </c>
      <c r="F82" t="s">
        <v>1061</v>
      </c>
      <c r="G82">
        <v>2</v>
      </c>
      <c r="H82" s="4">
        <v>5000</v>
      </c>
      <c r="I82" s="4">
        <v>3000</v>
      </c>
      <c r="J82" s="4">
        <v>10000</v>
      </c>
      <c r="K82" t="s">
        <v>1059</v>
      </c>
      <c r="L82" s="5"/>
    </row>
    <row r="83" spans="1:12">
      <c r="A83" t="s">
        <v>946</v>
      </c>
      <c r="B83" s="2">
        <v>45995</v>
      </c>
      <c r="C83" t="s">
        <v>1027</v>
      </c>
      <c r="D83" t="s">
        <v>1011</v>
      </c>
      <c r="E83" t="s">
        <v>1044</v>
      </c>
      <c r="F83" t="s">
        <v>1020</v>
      </c>
      <c r="G83">
        <v>1</v>
      </c>
      <c r="H83" s="4">
        <v>7500</v>
      </c>
      <c r="I83" s="4">
        <v>2200</v>
      </c>
      <c r="J83" s="4">
        <v>7500</v>
      </c>
      <c r="K83" t="s">
        <v>1059</v>
      </c>
      <c r="L83" s="5"/>
    </row>
    <row r="84" spans="1:12">
      <c r="A84" t="s">
        <v>64</v>
      </c>
      <c r="B84" s="2">
        <v>45994</v>
      </c>
      <c r="C84" t="s">
        <v>1025</v>
      </c>
      <c r="D84" t="s">
        <v>1011</v>
      </c>
      <c r="E84" t="s">
        <v>1041</v>
      </c>
      <c r="F84" t="s">
        <v>1017</v>
      </c>
      <c r="G84">
        <v>2</v>
      </c>
      <c r="H84" s="4">
        <v>2500</v>
      </c>
      <c r="I84" s="4">
        <v>1400</v>
      </c>
      <c r="J84" s="4">
        <v>5000</v>
      </c>
      <c r="K84" t="s">
        <v>1060</v>
      </c>
      <c r="L84" s="5"/>
    </row>
    <row r="85" spans="1:12">
      <c r="A85" t="s">
        <v>26</v>
      </c>
      <c r="B85" s="2">
        <v>45993</v>
      </c>
      <c r="C85" t="s">
        <v>1026</v>
      </c>
      <c r="D85" t="s">
        <v>1012</v>
      </c>
      <c r="E85" t="s">
        <v>1044</v>
      </c>
      <c r="F85" t="s">
        <v>1062</v>
      </c>
      <c r="G85">
        <v>1</v>
      </c>
      <c r="H85" s="4">
        <v>8000</v>
      </c>
      <c r="I85" s="4">
        <v>2500</v>
      </c>
      <c r="J85" s="4">
        <v>8000</v>
      </c>
      <c r="K85" t="s">
        <v>1060</v>
      </c>
      <c r="L85" s="5"/>
    </row>
    <row r="86" spans="1:12">
      <c r="A86" t="s">
        <v>411</v>
      </c>
      <c r="B86" s="2">
        <v>45993</v>
      </c>
      <c r="C86" t="s">
        <v>1025</v>
      </c>
      <c r="D86" t="s">
        <v>1011</v>
      </c>
      <c r="E86" t="s">
        <v>1043</v>
      </c>
      <c r="F86" t="s">
        <v>1023</v>
      </c>
      <c r="G86">
        <v>1</v>
      </c>
      <c r="H86" s="4">
        <v>3000</v>
      </c>
      <c r="I86" s="4">
        <v>700</v>
      </c>
      <c r="J86" s="4">
        <v>3000</v>
      </c>
      <c r="K86" t="s">
        <v>1059</v>
      </c>
      <c r="L86" s="5"/>
    </row>
    <row r="87" spans="1:12">
      <c r="A87" t="s">
        <v>761</v>
      </c>
      <c r="B87" s="2">
        <v>45993</v>
      </c>
      <c r="C87" t="s">
        <v>1026</v>
      </c>
      <c r="D87" t="s">
        <v>1012</v>
      </c>
      <c r="E87" t="s">
        <v>1042</v>
      </c>
      <c r="F87" t="s">
        <v>1022</v>
      </c>
      <c r="G87">
        <v>1</v>
      </c>
      <c r="H87" s="4">
        <v>5000</v>
      </c>
      <c r="I87" s="4">
        <v>1500</v>
      </c>
      <c r="J87" s="4">
        <v>5000</v>
      </c>
      <c r="K87" t="s">
        <v>1058</v>
      </c>
      <c r="L87" s="5"/>
    </row>
    <row r="88" spans="1:12">
      <c r="A88" t="s">
        <v>940</v>
      </c>
      <c r="B88" s="2">
        <v>45993</v>
      </c>
      <c r="C88" t="s">
        <v>1027</v>
      </c>
      <c r="D88" t="s">
        <v>1011</v>
      </c>
      <c r="E88" t="s">
        <v>1041</v>
      </c>
      <c r="F88" t="s">
        <v>1061</v>
      </c>
      <c r="G88">
        <v>2</v>
      </c>
      <c r="H88" s="4">
        <v>5000</v>
      </c>
      <c r="I88" s="4">
        <v>3000</v>
      </c>
      <c r="J88" s="4">
        <v>10000</v>
      </c>
      <c r="K88" t="s">
        <v>1058</v>
      </c>
      <c r="L88" s="5"/>
    </row>
    <row r="89" spans="1:12">
      <c r="A89" t="s">
        <v>957</v>
      </c>
      <c r="B89" s="2">
        <v>45993</v>
      </c>
      <c r="C89" t="s">
        <v>1027</v>
      </c>
      <c r="D89" t="s">
        <v>1013</v>
      </c>
      <c r="E89" t="s">
        <v>1044</v>
      </c>
      <c r="F89" t="s">
        <v>1062</v>
      </c>
      <c r="G89">
        <v>1</v>
      </c>
      <c r="H89" s="4">
        <v>8000</v>
      </c>
      <c r="I89" s="4">
        <v>2500</v>
      </c>
      <c r="J89" s="4">
        <v>8000</v>
      </c>
      <c r="K89" t="s">
        <v>1059</v>
      </c>
      <c r="L89" s="5"/>
    </row>
    <row r="90" spans="1:12">
      <c r="A90" t="s">
        <v>462</v>
      </c>
      <c r="B90" s="2">
        <v>45992</v>
      </c>
      <c r="C90" t="s">
        <v>1026</v>
      </c>
      <c r="D90" t="s">
        <v>1013</v>
      </c>
      <c r="E90" t="s">
        <v>1041</v>
      </c>
      <c r="F90" t="s">
        <v>1017</v>
      </c>
      <c r="G90">
        <v>1</v>
      </c>
      <c r="H90" s="4">
        <v>2500</v>
      </c>
      <c r="I90" s="4">
        <v>700</v>
      </c>
      <c r="J90" s="4">
        <v>2500</v>
      </c>
      <c r="K90" t="s">
        <v>1059</v>
      </c>
      <c r="L90" s="5"/>
    </row>
    <row r="91" spans="1:12">
      <c r="A91" t="s">
        <v>710</v>
      </c>
      <c r="B91" s="2">
        <v>45992</v>
      </c>
      <c r="C91" t="s">
        <v>1027</v>
      </c>
      <c r="D91" t="s">
        <v>1011</v>
      </c>
      <c r="E91" t="s">
        <v>1041</v>
      </c>
      <c r="F91" t="s">
        <v>1061</v>
      </c>
      <c r="G91">
        <v>2</v>
      </c>
      <c r="H91" s="4">
        <v>5000</v>
      </c>
      <c r="I91" s="4">
        <v>3000</v>
      </c>
      <c r="J91" s="4">
        <v>10000</v>
      </c>
      <c r="K91" t="s">
        <v>1058</v>
      </c>
      <c r="L91" s="5"/>
    </row>
    <row r="92" spans="1:12">
      <c r="A92" t="s">
        <v>822</v>
      </c>
      <c r="B92" s="2">
        <v>45992</v>
      </c>
      <c r="C92" t="s">
        <v>1027</v>
      </c>
      <c r="D92" t="s">
        <v>1013</v>
      </c>
      <c r="E92" t="s">
        <v>1041</v>
      </c>
      <c r="F92" t="s">
        <v>1017</v>
      </c>
      <c r="G92">
        <v>2</v>
      </c>
      <c r="H92" s="4">
        <v>2500</v>
      </c>
      <c r="I92" s="4">
        <v>1400</v>
      </c>
      <c r="J92" s="4">
        <v>5000</v>
      </c>
      <c r="K92" t="s">
        <v>1058</v>
      </c>
      <c r="L92" s="5"/>
    </row>
    <row r="93" spans="1:12">
      <c r="A93" t="s">
        <v>904</v>
      </c>
      <c r="B93" s="2">
        <v>45992</v>
      </c>
      <c r="C93" t="s">
        <v>1027</v>
      </c>
      <c r="D93" t="s">
        <v>1012</v>
      </c>
      <c r="E93" t="s">
        <v>1044</v>
      </c>
      <c r="F93" t="s">
        <v>1063</v>
      </c>
      <c r="G93">
        <v>2</v>
      </c>
      <c r="H93" s="4">
        <v>7000</v>
      </c>
      <c r="I93" s="4">
        <v>4000</v>
      </c>
      <c r="J93" s="4">
        <v>14000</v>
      </c>
      <c r="K93" t="s">
        <v>1058</v>
      </c>
      <c r="L93" s="5"/>
    </row>
    <row r="94" spans="1:12">
      <c r="A94" t="s">
        <v>1002</v>
      </c>
      <c r="B94" s="2">
        <v>45992</v>
      </c>
      <c r="C94" t="s">
        <v>1026</v>
      </c>
      <c r="D94" t="s">
        <v>1011</v>
      </c>
      <c r="E94" t="s">
        <v>1044</v>
      </c>
      <c r="F94" t="s">
        <v>1062</v>
      </c>
      <c r="G94">
        <v>1</v>
      </c>
      <c r="H94" s="4">
        <v>8000</v>
      </c>
      <c r="I94" s="4">
        <v>2500</v>
      </c>
      <c r="J94" s="4">
        <v>8000</v>
      </c>
      <c r="K94" t="s">
        <v>1058</v>
      </c>
      <c r="L94" s="5"/>
    </row>
    <row r="95" spans="1:12">
      <c r="A95" t="s">
        <v>383</v>
      </c>
      <c r="B95" s="2">
        <v>45991</v>
      </c>
      <c r="C95" t="s">
        <v>1027</v>
      </c>
      <c r="D95" t="s">
        <v>1011</v>
      </c>
      <c r="E95" t="s">
        <v>1041</v>
      </c>
      <c r="F95" t="s">
        <v>1061</v>
      </c>
      <c r="G95">
        <v>1</v>
      </c>
      <c r="H95" s="4">
        <v>5000</v>
      </c>
      <c r="I95" s="4">
        <v>1500</v>
      </c>
      <c r="J95" s="4">
        <v>5000</v>
      </c>
      <c r="K95" t="s">
        <v>1058</v>
      </c>
      <c r="L95" s="5"/>
    </row>
    <row r="96" spans="1:12">
      <c r="A96" t="s">
        <v>432</v>
      </c>
      <c r="B96" s="2">
        <v>45991</v>
      </c>
      <c r="C96" t="s">
        <v>1025</v>
      </c>
      <c r="D96" t="s">
        <v>1013</v>
      </c>
      <c r="E96" t="s">
        <v>1041</v>
      </c>
      <c r="F96" t="s">
        <v>1061</v>
      </c>
      <c r="G96">
        <v>1</v>
      </c>
      <c r="H96" s="4">
        <v>5000</v>
      </c>
      <c r="I96" s="4">
        <v>1500</v>
      </c>
      <c r="J96" s="4">
        <v>5000</v>
      </c>
      <c r="K96" t="s">
        <v>1060</v>
      </c>
      <c r="L96" s="5"/>
    </row>
    <row r="97" spans="1:12">
      <c r="A97" t="s">
        <v>750</v>
      </c>
      <c r="B97" s="2">
        <v>45991</v>
      </c>
      <c r="C97" t="s">
        <v>1026</v>
      </c>
      <c r="D97" t="s">
        <v>1011</v>
      </c>
      <c r="E97" t="s">
        <v>1044</v>
      </c>
      <c r="F97" t="s">
        <v>1014</v>
      </c>
      <c r="G97">
        <v>1</v>
      </c>
      <c r="H97" s="4">
        <v>2500</v>
      </c>
      <c r="I97" s="4">
        <v>500</v>
      </c>
      <c r="J97" s="4">
        <v>2500</v>
      </c>
      <c r="K97" t="s">
        <v>1059</v>
      </c>
      <c r="L97" s="5"/>
    </row>
    <row r="98" spans="1:12">
      <c r="A98" t="s">
        <v>234</v>
      </c>
      <c r="B98" s="2">
        <v>45990</v>
      </c>
      <c r="C98" t="s">
        <v>1026</v>
      </c>
      <c r="D98" t="s">
        <v>1013</v>
      </c>
      <c r="E98" t="s">
        <v>1042</v>
      </c>
      <c r="F98" t="s">
        <v>1022</v>
      </c>
      <c r="G98">
        <v>1</v>
      </c>
      <c r="H98" s="4">
        <v>5000</v>
      </c>
      <c r="I98" s="4">
        <v>1500</v>
      </c>
      <c r="J98" s="4">
        <v>5000</v>
      </c>
      <c r="K98" t="s">
        <v>1059</v>
      </c>
      <c r="L98" s="5"/>
    </row>
    <row r="99" spans="1:12">
      <c r="A99" t="s">
        <v>362</v>
      </c>
      <c r="B99" s="2">
        <v>45990</v>
      </c>
      <c r="C99" t="s">
        <v>1026</v>
      </c>
      <c r="D99" t="s">
        <v>1013</v>
      </c>
      <c r="E99" t="s">
        <v>1044</v>
      </c>
      <c r="F99" t="s">
        <v>1020</v>
      </c>
      <c r="G99">
        <v>1</v>
      </c>
      <c r="H99" s="4">
        <v>7500</v>
      </c>
      <c r="I99" s="4">
        <v>2200</v>
      </c>
      <c r="J99" s="4">
        <v>7500</v>
      </c>
      <c r="K99" t="s">
        <v>1059</v>
      </c>
      <c r="L99" s="5"/>
    </row>
    <row r="100" spans="1:12">
      <c r="A100" t="s">
        <v>808</v>
      </c>
      <c r="B100" s="2">
        <v>45990</v>
      </c>
      <c r="C100" t="s">
        <v>1027</v>
      </c>
      <c r="D100" t="s">
        <v>1013</v>
      </c>
      <c r="E100" t="s">
        <v>1043</v>
      </c>
      <c r="F100" t="s">
        <v>1023</v>
      </c>
      <c r="G100">
        <v>2</v>
      </c>
      <c r="H100" s="4">
        <v>3000</v>
      </c>
      <c r="I100" s="4">
        <v>1400</v>
      </c>
      <c r="J100" s="4">
        <v>6000</v>
      </c>
      <c r="K100" t="s">
        <v>1059</v>
      </c>
      <c r="L100" s="5"/>
    </row>
    <row r="101" spans="1:12">
      <c r="A101" t="s">
        <v>233</v>
      </c>
      <c r="B101" s="2">
        <v>45989</v>
      </c>
      <c r="C101" t="s">
        <v>1027</v>
      </c>
      <c r="D101" t="s">
        <v>1011</v>
      </c>
      <c r="E101" t="s">
        <v>1044</v>
      </c>
      <c r="F101" t="s">
        <v>1062</v>
      </c>
      <c r="G101">
        <v>1</v>
      </c>
      <c r="H101" s="4">
        <v>8000</v>
      </c>
      <c r="I101" s="4">
        <v>2500</v>
      </c>
      <c r="J101" s="4">
        <v>8000</v>
      </c>
      <c r="K101" t="s">
        <v>1058</v>
      </c>
      <c r="L101" s="5"/>
    </row>
    <row r="102" spans="1:12">
      <c r="A102" t="s">
        <v>438</v>
      </c>
      <c r="B102" s="2">
        <v>45989</v>
      </c>
      <c r="C102" t="s">
        <v>1026</v>
      </c>
      <c r="D102" t="s">
        <v>1011</v>
      </c>
      <c r="E102" t="s">
        <v>1041</v>
      </c>
      <c r="F102" t="s">
        <v>1016</v>
      </c>
      <c r="G102">
        <v>2</v>
      </c>
      <c r="H102" s="4">
        <v>3000</v>
      </c>
      <c r="I102" s="4">
        <v>1600</v>
      </c>
      <c r="J102" s="4">
        <v>6000</v>
      </c>
      <c r="K102" t="s">
        <v>1059</v>
      </c>
      <c r="L102" s="5"/>
    </row>
    <row r="103" spans="1:12">
      <c r="A103" t="s">
        <v>549</v>
      </c>
      <c r="B103" s="2">
        <v>45989</v>
      </c>
      <c r="C103" t="s">
        <v>1025</v>
      </c>
      <c r="D103" t="s">
        <v>1013</v>
      </c>
      <c r="E103" t="s">
        <v>1044</v>
      </c>
      <c r="F103" t="s">
        <v>1062</v>
      </c>
      <c r="G103">
        <v>1</v>
      </c>
      <c r="H103" s="4">
        <v>8000</v>
      </c>
      <c r="I103" s="4">
        <v>2500</v>
      </c>
      <c r="J103" s="4">
        <v>8000</v>
      </c>
      <c r="K103" t="s">
        <v>1060</v>
      </c>
      <c r="L103" s="5"/>
    </row>
    <row r="104" spans="1:12">
      <c r="A104" t="s">
        <v>674</v>
      </c>
      <c r="B104" s="2">
        <v>45989</v>
      </c>
      <c r="C104" t="s">
        <v>1026</v>
      </c>
      <c r="D104" t="s">
        <v>1012</v>
      </c>
      <c r="E104" t="s">
        <v>1043</v>
      </c>
      <c r="F104" t="s">
        <v>1021</v>
      </c>
      <c r="G104">
        <v>1</v>
      </c>
      <c r="H104" s="4">
        <v>6000</v>
      </c>
      <c r="I104" s="4">
        <v>1800</v>
      </c>
      <c r="J104" s="4">
        <v>6000</v>
      </c>
      <c r="K104" t="s">
        <v>1058</v>
      </c>
      <c r="L104" s="5"/>
    </row>
    <row r="105" spans="1:12">
      <c r="A105" t="s">
        <v>873</v>
      </c>
      <c r="B105" s="2">
        <v>45989</v>
      </c>
      <c r="C105" t="s">
        <v>1027</v>
      </c>
      <c r="D105" t="s">
        <v>1011</v>
      </c>
      <c r="E105" t="s">
        <v>1042</v>
      </c>
      <c r="F105" t="s">
        <v>1022</v>
      </c>
      <c r="G105">
        <v>2</v>
      </c>
      <c r="H105" s="4">
        <v>5000</v>
      </c>
      <c r="I105" s="4">
        <v>3000</v>
      </c>
      <c r="J105" s="4">
        <v>10000</v>
      </c>
      <c r="K105" t="s">
        <v>1060</v>
      </c>
      <c r="L105" s="5"/>
    </row>
    <row r="106" spans="1:12">
      <c r="A106" t="s">
        <v>921</v>
      </c>
      <c r="B106" s="2">
        <v>45989</v>
      </c>
      <c r="C106" t="s">
        <v>1026</v>
      </c>
      <c r="D106" t="s">
        <v>1013</v>
      </c>
      <c r="E106" t="s">
        <v>1044</v>
      </c>
      <c r="F106" t="s">
        <v>1014</v>
      </c>
      <c r="G106">
        <v>1</v>
      </c>
      <c r="H106" s="4">
        <v>2500</v>
      </c>
      <c r="I106" s="4">
        <v>500</v>
      </c>
      <c r="J106" s="4">
        <v>2500</v>
      </c>
      <c r="K106" t="s">
        <v>1059</v>
      </c>
      <c r="L106" s="5"/>
    </row>
    <row r="107" spans="1:12">
      <c r="A107" t="s">
        <v>147</v>
      </c>
      <c r="B107" s="2">
        <v>45988</v>
      </c>
      <c r="C107" t="s">
        <v>1025</v>
      </c>
      <c r="D107" t="s">
        <v>1012</v>
      </c>
      <c r="E107" t="s">
        <v>1042</v>
      </c>
      <c r="F107" t="s">
        <v>1022</v>
      </c>
      <c r="G107">
        <v>2</v>
      </c>
      <c r="H107" s="4">
        <v>5000</v>
      </c>
      <c r="I107" s="4">
        <v>3000</v>
      </c>
      <c r="J107" s="4">
        <v>10000</v>
      </c>
      <c r="K107" t="s">
        <v>1058</v>
      </c>
      <c r="L107" s="5"/>
    </row>
    <row r="108" spans="1:12">
      <c r="A108" t="s">
        <v>311</v>
      </c>
      <c r="B108" s="2">
        <v>45988</v>
      </c>
      <c r="C108" t="s">
        <v>1025</v>
      </c>
      <c r="D108" t="s">
        <v>1012</v>
      </c>
      <c r="E108" t="s">
        <v>1042</v>
      </c>
      <c r="F108" t="s">
        <v>1022</v>
      </c>
      <c r="G108">
        <v>1</v>
      </c>
      <c r="H108" s="4">
        <v>5000</v>
      </c>
      <c r="I108" s="4">
        <v>1500</v>
      </c>
      <c r="J108" s="4">
        <v>5000</v>
      </c>
      <c r="K108" t="s">
        <v>1060</v>
      </c>
      <c r="L108" s="5"/>
    </row>
    <row r="109" spans="1:12">
      <c r="A109" t="s">
        <v>890</v>
      </c>
      <c r="B109" s="2">
        <v>45988</v>
      </c>
      <c r="C109" t="s">
        <v>1025</v>
      </c>
      <c r="D109" t="s">
        <v>1013</v>
      </c>
      <c r="E109" t="s">
        <v>1042</v>
      </c>
      <c r="F109" t="s">
        <v>1019</v>
      </c>
      <c r="G109">
        <v>2</v>
      </c>
      <c r="H109" s="4">
        <v>3000</v>
      </c>
      <c r="I109" s="4">
        <v>1600</v>
      </c>
      <c r="J109" s="4">
        <v>6000</v>
      </c>
      <c r="K109" t="s">
        <v>1058</v>
      </c>
      <c r="L109" s="5"/>
    </row>
    <row r="110" spans="1:12">
      <c r="A110" t="s">
        <v>124</v>
      </c>
      <c r="B110" s="2">
        <v>45987</v>
      </c>
      <c r="C110" t="s">
        <v>1026</v>
      </c>
      <c r="D110" t="s">
        <v>1013</v>
      </c>
      <c r="E110" t="s">
        <v>1041</v>
      </c>
      <c r="F110" t="s">
        <v>1061</v>
      </c>
      <c r="G110">
        <v>1</v>
      </c>
      <c r="H110" s="4">
        <v>5000</v>
      </c>
      <c r="I110" s="4">
        <v>1500</v>
      </c>
      <c r="J110" s="4">
        <v>5000</v>
      </c>
      <c r="K110" t="s">
        <v>1058</v>
      </c>
      <c r="L110" s="5"/>
    </row>
    <row r="111" spans="1:12">
      <c r="A111" t="s">
        <v>310</v>
      </c>
      <c r="B111" s="2">
        <v>45987</v>
      </c>
      <c r="C111" t="s">
        <v>1026</v>
      </c>
      <c r="D111" t="s">
        <v>1013</v>
      </c>
      <c r="E111" t="s">
        <v>1043</v>
      </c>
      <c r="F111" t="s">
        <v>1018</v>
      </c>
      <c r="G111">
        <v>2</v>
      </c>
      <c r="H111" s="4">
        <v>2500</v>
      </c>
      <c r="I111" s="4">
        <v>1200</v>
      </c>
      <c r="J111" s="4">
        <v>5000</v>
      </c>
      <c r="K111" t="s">
        <v>1060</v>
      </c>
      <c r="L111" s="5"/>
    </row>
    <row r="112" spans="1:12">
      <c r="A112" t="s">
        <v>801</v>
      </c>
      <c r="B112" s="2">
        <v>45987</v>
      </c>
      <c r="C112" t="s">
        <v>1027</v>
      </c>
      <c r="D112" t="s">
        <v>1012</v>
      </c>
      <c r="E112" t="s">
        <v>1041</v>
      </c>
      <c r="F112" t="s">
        <v>1017</v>
      </c>
      <c r="G112">
        <v>1</v>
      </c>
      <c r="H112" s="4">
        <v>2500</v>
      </c>
      <c r="I112" s="4">
        <v>700</v>
      </c>
      <c r="J112" s="4">
        <v>2500</v>
      </c>
      <c r="K112" t="s">
        <v>1058</v>
      </c>
      <c r="L112" s="5"/>
    </row>
    <row r="113" spans="1:12">
      <c r="A113" t="s">
        <v>436</v>
      </c>
      <c r="B113" s="2">
        <v>45986</v>
      </c>
      <c r="C113" t="s">
        <v>1025</v>
      </c>
      <c r="D113" t="s">
        <v>1011</v>
      </c>
      <c r="E113" t="s">
        <v>1044</v>
      </c>
      <c r="F113" t="s">
        <v>1063</v>
      </c>
      <c r="G113">
        <v>2</v>
      </c>
      <c r="H113" s="4">
        <v>7000</v>
      </c>
      <c r="I113" s="4">
        <v>4000</v>
      </c>
      <c r="J113" s="4">
        <v>14000</v>
      </c>
      <c r="K113" t="s">
        <v>1058</v>
      </c>
      <c r="L113" s="5"/>
    </row>
    <row r="114" spans="1:12">
      <c r="A114" t="s">
        <v>36</v>
      </c>
      <c r="B114" s="2">
        <v>45985</v>
      </c>
      <c r="C114" t="s">
        <v>1025</v>
      </c>
      <c r="D114" t="s">
        <v>1011</v>
      </c>
      <c r="E114" t="s">
        <v>1042</v>
      </c>
      <c r="F114" t="s">
        <v>1015</v>
      </c>
      <c r="G114">
        <v>1</v>
      </c>
      <c r="H114" s="4">
        <v>4000</v>
      </c>
      <c r="I114" s="4">
        <v>1000</v>
      </c>
      <c r="J114" s="4">
        <v>4000</v>
      </c>
      <c r="K114" t="s">
        <v>1059</v>
      </c>
      <c r="L114" s="5"/>
    </row>
    <row r="115" spans="1:12">
      <c r="A115" t="s">
        <v>447</v>
      </c>
      <c r="B115" s="2">
        <v>45985</v>
      </c>
      <c r="C115" t="s">
        <v>1026</v>
      </c>
      <c r="D115" t="s">
        <v>1012</v>
      </c>
      <c r="E115" t="s">
        <v>1042</v>
      </c>
      <c r="F115" t="s">
        <v>1022</v>
      </c>
      <c r="G115">
        <v>1</v>
      </c>
      <c r="H115" s="4">
        <v>5000</v>
      </c>
      <c r="I115" s="4">
        <v>1500</v>
      </c>
      <c r="J115" s="4">
        <v>5000</v>
      </c>
      <c r="K115" t="s">
        <v>1060</v>
      </c>
      <c r="L115" s="5"/>
    </row>
    <row r="116" spans="1:12">
      <c r="A116" t="s">
        <v>758</v>
      </c>
      <c r="B116" s="2">
        <v>45985</v>
      </c>
      <c r="C116" t="s">
        <v>1026</v>
      </c>
      <c r="D116" t="s">
        <v>1012</v>
      </c>
      <c r="E116" t="s">
        <v>1044</v>
      </c>
      <c r="F116" t="s">
        <v>1062</v>
      </c>
      <c r="G116">
        <v>1</v>
      </c>
      <c r="H116" s="4">
        <v>8000</v>
      </c>
      <c r="I116" s="4">
        <v>2500</v>
      </c>
      <c r="J116" s="4">
        <v>8000</v>
      </c>
      <c r="K116" t="s">
        <v>1058</v>
      </c>
      <c r="L116" s="5"/>
    </row>
    <row r="117" spans="1:12">
      <c r="A117" t="s">
        <v>112</v>
      </c>
      <c r="B117" s="2">
        <v>45984</v>
      </c>
      <c r="C117" t="s">
        <v>1026</v>
      </c>
      <c r="D117" t="s">
        <v>1011</v>
      </c>
      <c r="E117" t="s">
        <v>1044</v>
      </c>
      <c r="F117" t="s">
        <v>1063</v>
      </c>
      <c r="G117">
        <v>1</v>
      </c>
      <c r="H117" s="4">
        <v>7000</v>
      </c>
      <c r="I117" s="4">
        <v>2000</v>
      </c>
      <c r="J117" s="4">
        <v>7000</v>
      </c>
      <c r="K117" t="s">
        <v>1058</v>
      </c>
      <c r="L117" s="5"/>
    </row>
    <row r="118" spans="1:12">
      <c r="A118" t="s">
        <v>157</v>
      </c>
      <c r="B118" s="2">
        <v>45984</v>
      </c>
      <c r="C118" t="s">
        <v>1026</v>
      </c>
      <c r="D118" t="s">
        <v>1013</v>
      </c>
      <c r="E118" t="s">
        <v>1042</v>
      </c>
      <c r="F118" t="s">
        <v>1022</v>
      </c>
      <c r="G118">
        <v>1</v>
      </c>
      <c r="H118" s="4">
        <v>5000</v>
      </c>
      <c r="I118" s="4">
        <v>1500</v>
      </c>
      <c r="J118" s="4">
        <v>5000</v>
      </c>
      <c r="K118" t="s">
        <v>1059</v>
      </c>
      <c r="L118" s="5"/>
    </row>
    <row r="119" spans="1:12">
      <c r="A119" t="s">
        <v>379</v>
      </c>
      <c r="B119" s="2">
        <v>45983</v>
      </c>
      <c r="C119" t="s">
        <v>1025</v>
      </c>
      <c r="D119" t="s">
        <v>1012</v>
      </c>
      <c r="E119" t="s">
        <v>1044</v>
      </c>
      <c r="F119" t="s">
        <v>1063</v>
      </c>
      <c r="G119">
        <v>1</v>
      </c>
      <c r="H119" s="4">
        <v>7000</v>
      </c>
      <c r="I119" s="4">
        <v>2000</v>
      </c>
      <c r="J119" s="4">
        <v>7000</v>
      </c>
      <c r="K119" t="s">
        <v>1059</v>
      </c>
      <c r="L119" s="5"/>
    </row>
    <row r="120" spans="1:12">
      <c r="A120" t="s">
        <v>745</v>
      </c>
      <c r="B120" s="2">
        <v>45983</v>
      </c>
      <c r="C120" t="s">
        <v>1027</v>
      </c>
      <c r="D120" t="s">
        <v>1011</v>
      </c>
      <c r="E120" t="s">
        <v>1043</v>
      </c>
      <c r="F120" t="s">
        <v>1023</v>
      </c>
      <c r="G120">
        <v>2</v>
      </c>
      <c r="H120" s="4">
        <v>3000</v>
      </c>
      <c r="I120" s="4">
        <v>1400</v>
      </c>
      <c r="J120" s="4">
        <v>6000</v>
      </c>
      <c r="K120" t="s">
        <v>1059</v>
      </c>
      <c r="L120" s="5"/>
    </row>
    <row r="121" spans="1:12">
      <c r="A121" t="s">
        <v>774</v>
      </c>
      <c r="B121" s="2">
        <v>45981</v>
      </c>
      <c r="C121" t="s">
        <v>1027</v>
      </c>
      <c r="D121" t="s">
        <v>1012</v>
      </c>
      <c r="E121" t="s">
        <v>1043</v>
      </c>
      <c r="F121" t="s">
        <v>1023</v>
      </c>
      <c r="G121">
        <v>1</v>
      </c>
      <c r="H121" s="4">
        <v>3000</v>
      </c>
      <c r="I121" s="4">
        <v>700</v>
      </c>
      <c r="J121" s="4">
        <v>3000</v>
      </c>
      <c r="K121" t="s">
        <v>1060</v>
      </c>
      <c r="L121" s="5"/>
    </row>
    <row r="122" spans="1:12">
      <c r="A122" t="s">
        <v>999</v>
      </c>
      <c r="B122" s="2">
        <v>45981</v>
      </c>
      <c r="C122" t="s">
        <v>1027</v>
      </c>
      <c r="D122" t="s">
        <v>1013</v>
      </c>
      <c r="E122" t="s">
        <v>1044</v>
      </c>
      <c r="F122" t="s">
        <v>1063</v>
      </c>
      <c r="G122">
        <v>2</v>
      </c>
      <c r="H122" s="4">
        <v>7000</v>
      </c>
      <c r="I122" s="4">
        <v>4000</v>
      </c>
      <c r="J122" s="4">
        <v>14000</v>
      </c>
      <c r="K122" t="s">
        <v>1060</v>
      </c>
      <c r="L122" s="5"/>
    </row>
    <row r="123" spans="1:12">
      <c r="A123" t="s">
        <v>188</v>
      </c>
      <c r="B123" s="2">
        <v>45980</v>
      </c>
      <c r="C123" t="s">
        <v>1025</v>
      </c>
      <c r="D123" t="s">
        <v>1013</v>
      </c>
      <c r="E123" t="s">
        <v>1041</v>
      </c>
      <c r="F123" t="s">
        <v>1017</v>
      </c>
      <c r="G123">
        <v>1</v>
      </c>
      <c r="H123" s="4">
        <v>2500</v>
      </c>
      <c r="I123" s="4">
        <v>700</v>
      </c>
      <c r="J123" s="4">
        <v>2500</v>
      </c>
      <c r="K123" t="s">
        <v>1060</v>
      </c>
      <c r="L123" s="5"/>
    </row>
    <row r="124" spans="1:12">
      <c r="A124" t="s">
        <v>500</v>
      </c>
      <c r="B124" s="2">
        <v>45980</v>
      </c>
      <c r="C124" t="s">
        <v>1027</v>
      </c>
      <c r="D124" t="s">
        <v>1013</v>
      </c>
      <c r="E124" t="s">
        <v>1044</v>
      </c>
      <c r="F124" t="s">
        <v>1020</v>
      </c>
      <c r="G124">
        <v>1</v>
      </c>
      <c r="H124" s="4">
        <v>7500</v>
      </c>
      <c r="I124" s="4">
        <v>2200</v>
      </c>
      <c r="J124" s="4">
        <v>7500</v>
      </c>
      <c r="K124" t="s">
        <v>1060</v>
      </c>
      <c r="L124" s="5"/>
    </row>
    <row r="125" spans="1:12">
      <c r="A125" t="s">
        <v>561</v>
      </c>
      <c r="B125" s="2">
        <v>45980</v>
      </c>
      <c r="C125" t="s">
        <v>1027</v>
      </c>
      <c r="D125" t="s">
        <v>1013</v>
      </c>
      <c r="E125" t="s">
        <v>1042</v>
      </c>
      <c r="F125" t="s">
        <v>1019</v>
      </c>
      <c r="G125">
        <v>2</v>
      </c>
      <c r="H125" s="4">
        <v>3000</v>
      </c>
      <c r="I125" s="4">
        <v>1600</v>
      </c>
      <c r="J125" s="4">
        <v>6000</v>
      </c>
      <c r="K125" t="s">
        <v>1060</v>
      </c>
      <c r="L125" s="5"/>
    </row>
    <row r="126" spans="1:12">
      <c r="A126" t="s">
        <v>17</v>
      </c>
      <c r="B126" s="2">
        <v>45979</v>
      </c>
      <c r="C126" t="s">
        <v>1025</v>
      </c>
      <c r="D126" t="s">
        <v>1012</v>
      </c>
      <c r="E126" t="s">
        <v>1041</v>
      </c>
      <c r="F126" t="s">
        <v>1017</v>
      </c>
      <c r="G126">
        <v>1</v>
      </c>
      <c r="H126" s="4">
        <v>2500</v>
      </c>
      <c r="I126" s="4">
        <v>700</v>
      </c>
      <c r="J126" s="4">
        <v>2500</v>
      </c>
      <c r="K126" t="s">
        <v>1060</v>
      </c>
      <c r="L126" s="5"/>
    </row>
    <row r="127" spans="1:12">
      <c r="A127" t="s">
        <v>222</v>
      </c>
      <c r="B127" s="2">
        <v>45979</v>
      </c>
      <c r="C127" t="s">
        <v>1027</v>
      </c>
      <c r="D127" t="s">
        <v>1011</v>
      </c>
      <c r="E127" t="s">
        <v>1042</v>
      </c>
      <c r="F127" t="s">
        <v>1019</v>
      </c>
      <c r="G127">
        <v>1</v>
      </c>
      <c r="H127" s="4">
        <v>3000</v>
      </c>
      <c r="I127" s="4">
        <v>800</v>
      </c>
      <c r="J127" s="4">
        <v>3000</v>
      </c>
      <c r="K127" t="s">
        <v>1060</v>
      </c>
      <c r="L127" s="5"/>
    </row>
    <row r="128" spans="1:12">
      <c r="A128" t="s">
        <v>294</v>
      </c>
      <c r="B128" s="2">
        <v>45979</v>
      </c>
      <c r="C128" t="s">
        <v>1026</v>
      </c>
      <c r="D128" t="s">
        <v>1013</v>
      </c>
      <c r="E128" t="s">
        <v>1042</v>
      </c>
      <c r="F128" t="s">
        <v>1015</v>
      </c>
      <c r="G128">
        <v>1</v>
      </c>
      <c r="H128" s="4">
        <v>4000</v>
      </c>
      <c r="I128" s="4">
        <v>1000</v>
      </c>
      <c r="J128" s="4">
        <v>4000</v>
      </c>
      <c r="K128" t="s">
        <v>1058</v>
      </c>
      <c r="L128" s="5"/>
    </row>
    <row r="129" spans="1:12">
      <c r="A129" t="s">
        <v>592</v>
      </c>
      <c r="B129" s="2">
        <v>45979</v>
      </c>
      <c r="C129" t="s">
        <v>1026</v>
      </c>
      <c r="D129" t="s">
        <v>1012</v>
      </c>
      <c r="E129" t="s">
        <v>1041</v>
      </c>
      <c r="F129" t="s">
        <v>1016</v>
      </c>
      <c r="G129">
        <v>1</v>
      </c>
      <c r="H129" s="4">
        <v>3000</v>
      </c>
      <c r="I129" s="4">
        <v>800</v>
      </c>
      <c r="J129" s="4">
        <v>3000</v>
      </c>
      <c r="K129" t="s">
        <v>1058</v>
      </c>
      <c r="L129" s="5"/>
    </row>
    <row r="130" spans="1:12">
      <c r="A130" t="s">
        <v>612</v>
      </c>
      <c r="B130" s="2">
        <v>45979</v>
      </c>
      <c r="C130" t="s">
        <v>1025</v>
      </c>
      <c r="D130" t="s">
        <v>1013</v>
      </c>
      <c r="E130" t="s">
        <v>1044</v>
      </c>
      <c r="F130" t="s">
        <v>1062</v>
      </c>
      <c r="G130">
        <v>1</v>
      </c>
      <c r="H130" s="4">
        <v>8000</v>
      </c>
      <c r="I130" s="4">
        <v>2500</v>
      </c>
      <c r="J130" s="4">
        <v>8000</v>
      </c>
      <c r="K130" t="s">
        <v>1058</v>
      </c>
      <c r="L130" s="5"/>
    </row>
    <row r="131" spans="1:12">
      <c r="A131" t="s">
        <v>170</v>
      </c>
      <c r="B131" s="2">
        <v>45978</v>
      </c>
      <c r="C131" t="s">
        <v>1025</v>
      </c>
      <c r="D131" t="s">
        <v>1011</v>
      </c>
      <c r="E131" t="s">
        <v>1044</v>
      </c>
      <c r="F131" t="s">
        <v>1014</v>
      </c>
      <c r="G131">
        <v>1</v>
      </c>
      <c r="H131" s="4">
        <v>2500</v>
      </c>
      <c r="I131" s="4">
        <v>500</v>
      </c>
      <c r="J131" s="4">
        <v>2500</v>
      </c>
      <c r="K131" t="s">
        <v>1059</v>
      </c>
      <c r="L131" s="5"/>
    </row>
    <row r="132" spans="1:12">
      <c r="A132" t="s">
        <v>186</v>
      </c>
      <c r="B132" s="2">
        <v>45978</v>
      </c>
      <c r="C132" t="s">
        <v>1026</v>
      </c>
      <c r="D132" t="s">
        <v>1013</v>
      </c>
      <c r="E132" t="s">
        <v>1043</v>
      </c>
      <c r="F132" t="s">
        <v>1021</v>
      </c>
      <c r="G132">
        <v>2</v>
      </c>
      <c r="H132" s="4">
        <v>6000</v>
      </c>
      <c r="I132" s="4">
        <v>3600</v>
      </c>
      <c r="J132" s="4">
        <v>12000</v>
      </c>
      <c r="K132" t="s">
        <v>1059</v>
      </c>
      <c r="L132" s="5"/>
    </row>
    <row r="133" spans="1:12">
      <c r="A133" t="s">
        <v>475</v>
      </c>
      <c r="B133" s="2">
        <v>45978</v>
      </c>
      <c r="C133" t="s">
        <v>1025</v>
      </c>
      <c r="D133" t="s">
        <v>1012</v>
      </c>
      <c r="E133" t="s">
        <v>1042</v>
      </c>
      <c r="F133" t="s">
        <v>1022</v>
      </c>
      <c r="G133">
        <v>1</v>
      </c>
      <c r="H133" s="4">
        <v>5000</v>
      </c>
      <c r="I133" s="4">
        <v>1500</v>
      </c>
      <c r="J133" s="4">
        <v>5000</v>
      </c>
      <c r="K133" t="s">
        <v>1060</v>
      </c>
      <c r="L133" s="5"/>
    </row>
    <row r="134" spans="1:12">
      <c r="A134" t="s">
        <v>646</v>
      </c>
      <c r="B134" s="2">
        <v>45976</v>
      </c>
      <c r="C134" t="s">
        <v>1027</v>
      </c>
      <c r="D134" t="s">
        <v>1012</v>
      </c>
      <c r="E134" t="s">
        <v>1043</v>
      </c>
      <c r="F134" t="s">
        <v>1021</v>
      </c>
      <c r="G134">
        <v>1</v>
      </c>
      <c r="H134" s="4">
        <v>6000</v>
      </c>
      <c r="I134" s="4">
        <v>1800</v>
      </c>
      <c r="J134" s="4">
        <v>6000</v>
      </c>
      <c r="K134" t="s">
        <v>1058</v>
      </c>
      <c r="L134" s="5"/>
    </row>
    <row r="135" spans="1:12">
      <c r="A135" t="s">
        <v>793</v>
      </c>
      <c r="B135" s="2">
        <v>45976</v>
      </c>
      <c r="C135" t="s">
        <v>1025</v>
      </c>
      <c r="D135" t="s">
        <v>1011</v>
      </c>
      <c r="E135" t="s">
        <v>1043</v>
      </c>
      <c r="F135" t="s">
        <v>1018</v>
      </c>
      <c r="G135">
        <v>1</v>
      </c>
      <c r="H135" s="4">
        <v>2500</v>
      </c>
      <c r="I135" s="4">
        <v>600</v>
      </c>
      <c r="J135" s="4">
        <v>2500</v>
      </c>
      <c r="K135" t="s">
        <v>1059</v>
      </c>
      <c r="L135" s="5"/>
    </row>
    <row r="136" spans="1:12">
      <c r="A136" t="s">
        <v>221</v>
      </c>
      <c r="B136" s="2">
        <v>45975</v>
      </c>
      <c r="C136" t="s">
        <v>1026</v>
      </c>
      <c r="D136" t="s">
        <v>1011</v>
      </c>
      <c r="E136" t="s">
        <v>1044</v>
      </c>
      <c r="F136" t="s">
        <v>1014</v>
      </c>
      <c r="G136">
        <v>1</v>
      </c>
      <c r="H136" s="4">
        <v>2500</v>
      </c>
      <c r="I136" s="4">
        <v>500</v>
      </c>
      <c r="J136" s="4">
        <v>2500</v>
      </c>
      <c r="K136" t="s">
        <v>1060</v>
      </c>
      <c r="L136" s="5"/>
    </row>
    <row r="137" spans="1:12">
      <c r="A137" t="s">
        <v>506</v>
      </c>
      <c r="B137" s="2">
        <v>45975</v>
      </c>
      <c r="C137" t="s">
        <v>1025</v>
      </c>
      <c r="D137" t="s">
        <v>1012</v>
      </c>
      <c r="E137" t="s">
        <v>1044</v>
      </c>
      <c r="F137" t="s">
        <v>1014</v>
      </c>
      <c r="G137">
        <v>1</v>
      </c>
      <c r="H137" s="4">
        <v>2500</v>
      </c>
      <c r="I137" s="4">
        <v>500</v>
      </c>
      <c r="J137" s="4">
        <v>2500</v>
      </c>
      <c r="K137" t="s">
        <v>1058</v>
      </c>
      <c r="L137" s="5"/>
    </row>
    <row r="138" spans="1:12">
      <c r="A138" t="s">
        <v>977</v>
      </c>
      <c r="B138" s="2">
        <v>45975</v>
      </c>
      <c r="C138" t="s">
        <v>1026</v>
      </c>
      <c r="D138" t="s">
        <v>1012</v>
      </c>
      <c r="E138" t="s">
        <v>1043</v>
      </c>
      <c r="F138" t="s">
        <v>1023</v>
      </c>
      <c r="G138">
        <v>1</v>
      </c>
      <c r="H138" s="4">
        <v>3000</v>
      </c>
      <c r="I138" s="4">
        <v>700</v>
      </c>
      <c r="J138" s="4">
        <v>3000</v>
      </c>
      <c r="K138" t="s">
        <v>1060</v>
      </c>
      <c r="L138" s="5"/>
    </row>
    <row r="139" spans="1:12">
      <c r="A139" t="s">
        <v>140</v>
      </c>
      <c r="B139" s="2">
        <v>45973</v>
      </c>
      <c r="C139" t="s">
        <v>1025</v>
      </c>
      <c r="D139" t="s">
        <v>1012</v>
      </c>
      <c r="E139" t="s">
        <v>1042</v>
      </c>
      <c r="F139" t="s">
        <v>1022</v>
      </c>
      <c r="G139">
        <v>1</v>
      </c>
      <c r="H139" s="4">
        <v>5000</v>
      </c>
      <c r="I139" s="4">
        <v>1500</v>
      </c>
      <c r="J139" s="4">
        <v>5000</v>
      </c>
      <c r="K139" t="s">
        <v>1058</v>
      </c>
      <c r="L139" s="5"/>
    </row>
    <row r="140" spans="1:12">
      <c r="A140" t="s">
        <v>849</v>
      </c>
      <c r="B140" s="2">
        <v>45973</v>
      </c>
      <c r="C140" t="s">
        <v>1025</v>
      </c>
      <c r="D140" t="s">
        <v>1011</v>
      </c>
      <c r="E140" t="s">
        <v>1043</v>
      </c>
      <c r="F140" t="s">
        <v>1023</v>
      </c>
      <c r="G140">
        <v>1</v>
      </c>
      <c r="H140" s="4">
        <v>3000</v>
      </c>
      <c r="I140" s="4">
        <v>700</v>
      </c>
      <c r="J140" s="4">
        <v>3000</v>
      </c>
      <c r="K140" t="s">
        <v>1060</v>
      </c>
      <c r="L140" s="5"/>
    </row>
    <row r="141" spans="1:12">
      <c r="A141" t="s">
        <v>251</v>
      </c>
      <c r="B141" s="2">
        <v>45972</v>
      </c>
      <c r="C141" t="s">
        <v>1027</v>
      </c>
      <c r="D141" t="s">
        <v>1011</v>
      </c>
      <c r="E141" t="s">
        <v>1043</v>
      </c>
      <c r="F141" t="s">
        <v>1023</v>
      </c>
      <c r="G141">
        <v>1</v>
      </c>
      <c r="H141" s="4">
        <v>3000</v>
      </c>
      <c r="I141" s="4">
        <v>700</v>
      </c>
      <c r="J141" s="4">
        <v>3000</v>
      </c>
      <c r="K141" t="s">
        <v>1060</v>
      </c>
      <c r="L141" s="5"/>
    </row>
    <row r="142" spans="1:12">
      <c r="A142" t="s">
        <v>298</v>
      </c>
      <c r="B142" s="2">
        <v>45972</v>
      </c>
      <c r="C142" t="s">
        <v>1025</v>
      </c>
      <c r="D142" t="s">
        <v>1011</v>
      </c>
      <c r="E142" t="s">
        <v>1041</v>
      </c>
      <c r="F142" t="s">
        <v>1017</v>
      </c>
      <c r="G142">
        <v>1</v>
      </c>
      <c r="H142" s="4">
        <v>2500</v>
      </c>
      <c r="I142" s="4">
        <v>700</v>
      </c>
      <c r="J142" s="4">
        <v>2500</v>
      </c>
      <c r="K142" t="s">
        <v>1058</v>
      </c>
      <c r="L142" s="5"/>
    </row>
    <row r="143" spans="1:12">
      <c r="A143" t="s">
        <v>355</v>
      </c>
      <c r="B143" s="2">
        <v>45972</v>
      </c>
      <c r="C143" t="s">
        <v>1026</v>
      </c>
      <c r="D143" t="s">
        <v>1012</v>
      </c>
      <c r="E143" t="s">
        <v>1041</v>
      </c>
      <c r="F143" t="s">
        <v>1061</v>
      </c>
      <c r="G143">
        <v>1</v>
      </c>
      <c r="H143" s="4">
        <v>5000</v>
      </c>
      <c r="I143" s="4">
        <v>1500</v>
      </c>
      <c r="J143" s="4">
        <v>5000</v>
      </c>
      <c r="K143" t="s">
        <v>1060</v>
      </c>
      <c r="L143" s="5"/>
    </row>
    <row r="144" spans="1:12">
      <c r="A144" t="s">
        <v>380</v>
      </c>
      <c r="B144" s="2">
        <v>45972</v>
      </c>
      <c r="C144" t="s">
        <v>1025</v>
      </c>
      <c r="D144" t="s">
        <v>1013</v>
      </c>
      <c r="E144" t="s">
        <v>1042</v>
      </c>
      <c r="F144" t="s">
        <v>1015</v>
      </c>
      <c r="G144">
        <v>1</v>
      </c>
      <c r="H144" s="4">
        <v>4000</v>
      </c>
      <c r="I144" s="4">
        <v>1000</v>
      </c>
      <c r="J144" s="4">
        <v>4000</v>
      </c>
      <c r="K144" t="s">
        <v>1060</v>
      </c>
      <c r="L144" s="5"/>
    </row>
    <row r="145" spans="1:12">
      <c r="A145" t="s">
        <v>569</v>
      </c>
      <c r="B145" s="2">
        <v>45972</v>
      </c>
      <c r="C145" t="s">
        <v>1025</v>
      </c>
      <c r="D145" t="s">
        <v>1013</v>
      </c>
      <c r="E145" t="s">
        <v>1041</v>
      </c>
      <c r="F145" t="s">
        <v>1016</v>
      </c>
      <c r="G145">
        <v>1</v>
      </c>
      <c r="H145" s="4">
        <v>3000</v>
      </c>
      <c r="I145" s="4">
        <v>800</v>
      </c>
      <c r="J145" s="4">
        <v>3000</v>
      </c>
      <c r="K145" t="s">
        <v>1060</v>
      </c>
      <c r="L145" s="5"/>
    </row>
    <row r="146" spans="1:12">
      <c r="A146" t="s">
        <v>956</v>
      </c>
      <c r="B146" s="2">
        <v>45972</v>
      </c>
      <c r="C146" t="s">
        <v>1027</v>
      </c>
      <c r="D146" t="s">
        <v>1011</v>
      </c>
      <c r="E146" t="s">
        <v>1043</v>
      </c>
      <c r="F146" t="s">
        <v>1018</v>
      </c>
      <c r="G146">
        <v>1</v>
      </c>
      <c r="H146" s="4">
        <v>2500</v>
      </c>
      <c r="I146" s="4">
        <v>600</v>
      </c>
      <c r="J146" s="4">
        <v>2500</v>
      </c>
      <c r="K146" t="s">
        <v>1059</v>
      </c>
      <c r="L146" s="5"/>
    </row>
    <row r="147" spans="1:12">
      <c r="A147" t="s">
        <v>976</v>
      </c>
      <c r="B147" s="2">
        <v>45972</v>
      </c>
      <c r="C147" t="s">
        <v>1027</v>
      </c>
      <c r="D147" t="s">
        <v>1011</v>
      </c>
      <c r="E147" t="s">
        <v>1042</v>
      </c>
      <c r="F147" t="s">
        <v>1015</v>
      </c>
      <c r="G147">
        <v>2</v>
      </c>
      <c r="H147" s="4">
        <v>4000</v>
      </c>
      <c r="I147" s="4">
        <v>2000</v>
      </c>
      <c r="J147" s="4">
        <v>8000</v>
      </c>
      <c r="K147" t="s">
        <v>1059</v>
      </c>
      <c r="L147" s="5"/>
    </row>
    <row r="148" spans="1:12">
      <c r="A148" t="s">
        <v>985</v>
      </c>
      <c r="B148" s="2">
        <v>45971</v>
      </c>
      <c r="C148" t="s">
        <v>1026</v>
      </c>
      <c r="D148" t="s">
        <v>1012</v>
      </c>
      <c r="E148" t="s">
        <v>1044</v>
      </c>
      <c r="F148" t="s">
        <v>1063</v>
      </c>
      <c r="G148">
        <v>2</v>
      </c>
      <c r="H148" s="4">
        <v>7000</v>
      </c>
      <c r="I148" s="4">
        <v>4000</v>
      </c>
      <c r="J148" s="4">
        <v>14000</v>
      </c>
      <c r="K148" t="s">
        <v>1059</v>
      </c>
      <c r="L148" s="5"/>
    </row>
    <row r="149" spans="1:12">
      <c r="A149" t="s">
        <v>419</v>
      </c>
      <c r="B149" s="2">
        <v>45970</v>
      </c>
      <c r="C149" t="s">
        <v>1026</v>
      </c>
      <c r="D149" t="s">
        <v>1013</v>
      </c>
      <c r="E149" t="s">
        <v>1044</v>
      </c>
      <c r="F149" t="s">
        <v>1062</v>
      </c>
      <c r="G149">
        <v>1</v>
      </c>
      <c r="H149" s="4">
        <v>8000</v>
      </c>
      <c r="I149" s="4">
        <v>2500</v>
      </c>
      <c r="J149" s="4">
        <v>8000</v>
      </c>
      <c r="K149" t="s">
        <v>1059</v>
      </c>
      <c r="L149" s="5"/>
    </row>
    <row r="150" spans="1:12">
      <c r="A150" t="s">
        <v>611</v>
      </c>
      <c r="B150" s="2">
        <v>45970</v>
      </c>
      <c r="C150" t="s">
        <v>1025</v>
      </c>
      <c r="D150" t="s">
        <v>1013</v>
      </c>
      <c r="E150" t="s">
        <v>1041</v>
      </c>
      <c r="F150" t="s">
        <v>1017</v>
      </c>
      <c r="G150">
        <v>1</v>
      </c>
      <c r="H150" s="4">
        <v>2500</v>
      </c>
      <c r="I150" s="4">
        <v>700</v>
      </c>
      <c r="J150" s="4">
        <v>2500</v>
      </c>
      <c r="K150" t="s">
        <v>1058</v>
      </c>
      <c r="L150" s="5"/>
    </row>
    <row r="151" spans="1:12">
      <c r="A151" t="s">
        <v>268</v>
      </c>
      <c r="B151" s="2">
        <v>45969</v>
      </c>
      <c r="C151" t="s">
        <v>1025</v>
      </c>
      <c r="D151" t="s">
        <v>1011</v>
      </c>
      <c r="E151" t="s">
        <v>1043</v>
      </c>
      <c r="F151" t="s">
        <v>1018</v>
      </c>
      <c r="G151">
        <v>1</v>
      </c>
      <c r="H151" s="4">
        <v>2500</v>
      </c>
      <c r="I151" s="4">
        <v>600</v>
      </c>
      <c r="J151" s="4">
        <v>2500</v>
      </c>
      <c r="K151" t="s">
        <v>1058</v>
      </c>
      <c r="L151" s="5"/>
    </row>
    <row r="152" spans="1:12">
      <c r="A152" t="s">
        <v>931</v>
      </c>
      <c r="B152" s="2">
        <v>45968</v>
      </c>
      <c r="C152" t="s">
        <v>1027</v>
      </c>
      <c r="D152" t="s">
        <v>1013</v>
      </c>
      <c r="E152" t="s">
        <v>1044</v>
      </c>
      <c r="F152" t="s">
        <v>1020</v>
      </c>
      <c r="G152">
        <v>1</v>
      </c>
      <c r="H152" s="4">
        <v>7500</v>
      </c>
      <c r="I152" s="4">
        <v>2200</v>
      </c>
      <c r="J152" s="4">
        <v>7500</v>
      </c>
      <c r="K152" t="s">
        <v>1058</v>
      </c>
      <c r="L152" s="5"/>
    </row>
    <row r="153" spans="1:12">
      <c r="A153" t="s">
        <v>519</v>
      </c>
      <c r="B153" s="2">
        <v>45967</v>
      </c>
      <c r="C153" t="s">
        <v>1025</v>
      </c>
      <c r="D153" t="s">
        <v>1011</v>
      </c>
      <c r="E153" t="s">
        <v>1041</v>
      </c>
      <c r="F153" t="s">
        <v>1017</v>
      </c>
      <c r="G153">
        <v>1</v>
      </c>
      <c r="H153" s="4">
        <v>2500</v>
      </c>
      <c r="I153" s="4">
        <v>700</v>
      </c>
      <c r="J153" s="4">
        <v>2500</v>
      </c>
      <c r="K153" t="s">
        <v>1058</v>
      </c>
      <c r="L153" s="5"/>
    </row>
    <row r="154" spans="1:12">
      <c r="A154" t="s">
        <v>292</v>
      </c>
      <c r="B154" s="2">
        <v>45966</v>
      </c>
      <c r="C154" t="s">
        <v>1027</v>
      </c>
      <c r="D154" t="s">
        <v>1011</v>
      </c>
      <c r="E154" t="s">
        <v>1044</v>
      </c>
      <c r="F154" t="s">
        <v>1014</v>
      </c>
      <c r="G154">
        <v>1</v>
      </c>
      <c r="H154" s="4">
        <v>2500</v>
      </c>
      <c r="I154" s="4">
        <v>500</v>
      </c>
      <c r="J154" s="4">
        <v>2500</v>
      </c>
      <c r="K154" t="s">
        <v>1059</v>
      </c>
      <c r="L154" s="5"/>
    </row>
    <row r="155" spans="1:12">
      <c r="A155" t="s">
        <v>698</v>
      </c>
      <c r="B155" s="2">
        <v>45966</v>
      </c>
      <c r="C155" t="s">
        <v>1026</v>
      </c>
      <c r="D155" t="s">
        <v>1011</v>
      </c>
      <c r="E155" t="s">
        <v>1041</v>
      </c>
      <c r="F155" t="s">
        <v>1061</v>
      </c>
      <c r="G155">
        <v>1</v>
      </c>
      <c r="H155" s="4">
        <v>5000</v>
      </c>
      <c r="I155" s="4">
        <v>1500</v>
      </c>
      <c r="J155" s="4">
        <v>5000</v>
      </c>
      <c r="K155" t="s">
        <v>1059</v>
      </c>
      <c r="L155" s="5"/>
    </row>
    <row r="156" spans="1:12">
      <c r="A156" t="s">
        <v>933</v>
      </c>
      <c r="B156" s="2">
        <v>45966</v>
      </c>
      <c r="C156" t="s">
        <v>1025</v>
      </c>
      <c r="D156" t="s">
        <v>1013</v>
      </c>
      <c r="E156" t="s">
        <v>1043</v>
      </c>
      <c r="F156" t="s">
        <v>1023</v>
      </c>
      <c r="G156">
        <v>1</v>
      </c>
      <c r="H156" s="4">
        <v>3000</v>
      </c>
      <c r="I156" s="4">
        <v>700</v>
      </c>
      <c r="J156" s="4">
        <v>3000</v>
      </c>
      <c r="K156" t="s">
        <v>1060</v>
      </c>
      <c r="L156" s="5"/>
    </row>
    <row r="157" spans="1:12">
      <c r="A157" t="s">
        <v>175</v>
      </c>
      <c r="B157" s="2">
        <v>45964</v>
      </c>
      <c r="C157" t="s">
        <v>1027</v>
      </c>
      <c r="D157" t="s">
        <v>1012</v>
      </c>
      <c r="E157" t="s">
        <v>1043</v>
      </c>
      <c r="F157" t="s">
        <v>1023</v>
      </c>
      <c r="G157">
        <v>1</v>
      </c>
      <c r="H157" s="4">
        <v>3000</v>
      </c>
      <c r="I157" s="4">
        <v>700</v>
      </c>
      <c r="J157" s="4">
        <v>3000</v>
      </c>
      <c r="K157" t="s">
        <v>1060</v>
      </c>
      <c r="L157" s="5"/>
    </row>
    <row r="158" spans="1:12">
      <c r="A158" t="s">
        <v>279</v>
      </c>
      <c r="B158" s="2">
        <v>45964</v>
      </c>
      <c r="C158" t="s">
        <v>1027</v>
      </c>
      <c r="D158" t="s">
        <v>1013</v>
      </c>
      <c r="E158" t="s">
        <v>1044</v>
      </c>
      <c r="F158" t="s">
        <v>1014</v>
      </c>
      <c r="G158">
        <v>2</v>
      </c>
      <c r="H158" s="4">
        <v>2500</v>
      </c>
      <c r="I158" s="4">
        <v>1000</v>
      </c>
      <c r="J158" s="4">
        <v>5000</v>
      </c>
      <c r="K158" t="s">
        <v>1059</v>
      </c>
      <c r="L158" s="5"/>
    </row>
    <row r="159" spans="1:12">
      <c r="A159" t="s">
        <v>31</v>
      </c>
      <c r="B159" s="2">
        <v>45963</v>
      </c>
      <c r="C159" t="s">
        <v>1027</v>
      </c>
      <c r="D159" t="s">
        <v>1012</v>
      </c>
      <c r="E159" t="s">
        <v>1042</v>
      </c>
      <c r="F159" t="s">
        <v>1019</v>
      </c>
      <c r="G159">
        <v>2</v>
      </c>
      <c r="H159" s="4">
        <v>3000</v>
      </c>
      <c r="I159" s="4">
        <v>1600</v>
      </c>
      <c r="J159" s="4">
        <v>6000</v>
      </c>
      <c r="K159" t="s">
        <v>1058</v>
      </c>
      <c r="L159" s="5"/>
    </row>
    <row r="160" spans="1:12">
      <c r="A160" t="s">
        <v>528</v>
      </c>
      <c r="B160" s="2">
        <v>45963</v>
      </c>
      <c r="C160" t="s">
        <v>1025</v>
      </c>
      <c r="D160" t="s">
        <v>1012</v>
      </c>
      <c r="E160" t="s">
        <v>1043</v>
      </c>
      <c r="F160" t="s">
        <v>1018</v>
      </c>
      <c r="G160">
        <v>1</v>
      </c>
      <c r="H160" s="4">
        <v>2500</v>
      </c>
      <c r="I160" s="4">
        <v>600</v>
      </c>
      <c r="J160" s="4">
        <v>2500</v>
      </c>
      <c r="K160" t="s">
        <v>1058</v>
      </c>
      <c r="L160" s="5"/>
    </row>
    <row r="161" spans="1:12">
      <c r="A161" t="s">
        <v>567</v>
      </c>
      <c r="B161" s="2">
        <v>45963</v>
      </c>
      <c r="C161" t="s">
        <v>1026</v>
      </c>
      <c r="D161" t="s">
        <v>1011</v>
      </c>
      <c r="E161" t="s">
        <v>1043</v>
      </c>
      <c r="F161" t="s">
        <v>1018</v>
      </c>
      <c r="G161">
        <v>1</v>
      </c>
      <c r="H161" s="4">
        <v>2500</v>
      </c>
      <c r="I161" s="4">
        <v>600</v>
      </c>
      <c r="J161" s="4">
        <v>2500</v>
      </c>
      <c r="K161" t="s">
        <v>1058</v>
      </c>
      <c r="L161" s="5"/>
    </row>
    <row r="162" spans="1:12">
      <c r="A162" t="s">
        <v>587</v>
      </c>
      <c r="B162" s="2">
        <v>45963</v>
      </c>
      <c r="C162" t="s">
        <v>1025</v>
      </c>
      <c r="D162" t="s">
        <v>1013</v>
      </c>
      <c r="E162" t="s">
        <v>1044</v>
      </c>
      <c r="F162" t="s">
        <v>1062</v>
      </c>
      <c r="G162">
        <v>1</v>
      </c>
      <c r="H162" s="4">
        <v>8000</v>
      </c>
      <c r="I162" s="4">
        <v>2500</v>
      </c>
      <c r="J162" s="4">
        <v>8000</v>
      </c>
      <c r="K162" t="s">
        <v>1058</v>
      </c>
      <c r="L162" s="5"/>
    </row>
    <row r="163" spans="1:12">
      <c r="A163" t="s">
        <v>309</v>
      </c>
      <c r="B163" s="2">
        <v>45962</v>
      </c>
      <c r="C163" t="s">
        <v>1025</v>
      </c>
      <c r="D163" t="s">
        <v>1013</v>
      </c>
      <c r="E163" t="s">
        <v>1044</v>
      </c>
      <c r="F163" t="s">
        <v>1020</v>
      </c>
      <c r="G163">
        <v>1</v>
      </c>
      <c r="H163" s="4">
        <v>7500</v>
      </c>
      <c r="I163" s="4">
        <v>2200</v>
      </c>
      <c r="J163" s="4">
        <v>7500</v>
      </c>
      <c r="K163" t="s">
        <v>1058</v>
      </c>
      <c r="L163" s="5"/>
    </row>
    <row r="164" spans="1:12">
      <c r="A164" t="s">
        <v>534</v>
      </c>
      <c r="B164" s="2">
        <v>45962</v>
      </c>
      <c r="C164" t="s">
        <v>1025</v>
      </c>
      <c r="D164" t="s">
        <v>1013</v>
      </c>
      <c r="E164" t="s">
        <v>1044</v>
      </c>
      <c r="F164" t="s">
        <v>1014</v>
      </c>
      <c r="G164">
        <v>2</v>
      </c>
      <c r="H164" s="4">
        <v>2500</v>
      </c>
      <c r="I164" s="4">
        <v>1000</v>
      </c>
      <c r="J164" s="4">
        <v>5000</v>
      </c>
      <c r="K164" t="s">
        <v>1058</v>
      </c>
      <c r="L164" s="5"/>
    </row>
    <row r="165" spans="1:12">
      <c r="A165" t="s">
        <v>709</v>
      </c>
      <c r="B165" s="2">
        <v>45962</v>
      </c>
      <c r="C165" t="s">
        <v>1025</v>
      </c>
      <c r="D165" t="s">
        <v>1012</v>
      </c>
      <c r="E165" t="s">
        <v>1041</v>
      </c>
      <c r="F165" t="s">
        <v>1017</v>
      </c>
      <c r="G165">
        <v>1</v>
      </c>
      <c r="H165" s="4">
        <v>2500</v>
      </c>
      <c r="I165" s="4">
        <v>700</v>
      </c>
      <c r="J165" s="4">
        <v>2500</v>
      </c>
      <c r="K165" t="s">
        <v>1060</v>
      </c>
      <c r="L165" s="5"/>
    </row>
    <row r="166" spans="1:12">
      <c r="A166" t="s">
        <v>788</v>
      </c>
      <c r="B166" s="2">
        <v>45962</v>
      </c>
      <c r="C166" t="s">
        <v>1027</v>
      </c>
      <c r="D166" t="s">
        <v>1011</v>
      </c>
      <c r="E166" t="s">
        <v>1043</v>
      </c>
      <c r="F166" t="s">
        <v>1021</v>
      </c>
      <c r="G166">
        <v>1</v>
      </c>
      <c r="H166" s="4">
        <v>6000</v>
      </c>
      <c r="I166" s="4">
        <v>1800</v>
      </c>
      <c r="J166" s="4">
        <v>6000</v>
      </c>
      <c r="K166" t="s">
        <v>1059</v>
      </c>
      <c r="L166" s="5"/>
    </row>
    <row r="167" spans="1:12">
      <c r="A167" t="s">
        <v>381</v>
      </c>
      <c r="B167" s="2">
        <v>45961</v>
      </c>
      <c r="C167" t="s">
        <v>1025</v>
      </c>
      <c r="D167" t="s">
        <v>1013</v>
      </c>
      <c r="E167" t="s">
        <v>1042</v>
      </c>
      <c r="F167" t="s">
        <v>1015</v>
      </c>
      <c r="G167">
        <v>1</v>
      </c>
      <c r="H167" s="4">
        <v>4000</v>
      </c>
      <c r="I167" s="4">
        <v>1000</v>
      </c>
      <c r="J167" s="4">
        <v>4000</v>
      </c>
      <c r="K167" t="s">
        <v>1059</v>
      </c>
      <c r="L167" s="5"/>
    </row>
    <row r="168" spans="1:12">
      <c r="A168" t="s">
        <v>407</v>
      </c>
      <c r="B168" s="2">
        <v>45961</v>
      </c>
      <c r="C168" t="s">
        <v>1026</v>
      </c>
      <c r="D168" t="s">
        <v>1011</v>
      </c>
      <c r="E168" t="s">
        <v>1044</v>
      </c>
      <c r="F168" t="s">
        <v>1020</v>
      </c>
      <c r="G168">
        <v>1</v>
      </c>
      <c r="H168" s="4">
        <v>7500</v>
      </c>
      <c r="I168" s="4">
        <v>2200</v>
      </c>
      <c r="J168" s="4">
        <v>7500</v>
      </c>
      <c r="K168" t="s">
        <v>1060</v>
      </c>
      <c r="L168" s="5"/>
    </row>
    <row r="169" spans="1:12">
      <c r="A169" t="s">
        <v>563</v>
      </c>
      <c r="B169" s="2">
        <v>45961</v>
      </c>
      <c r="C169" t="s">
        <v>1026</v>
      </c>
      <c r="D169" t="s">
        <v>1012</v>
      </c>
      <c r="E169" t="s">
        <v>1044</v>
      </c>
      <c r="F169" t="s">
        <v>1014</v>
      </c>
      <c r="G169">
        <v>2</v>
      </c>
      <c r="H169" s="4">
        <v>2500</v>
      </c>
      <c r="I169" s="4">
        <v>1000</v>
      </c>
      <c r="J169" s="4">
        <v>5000</v>
      </c>
      <c r="K169" t="s">
        <v>1059</v>
      </c>
      <c r="L169" s="5"/>
    </row>
    <row r="170" spans="1:12">
      <c r="A170" t="s">
        <v>903</v>
      </c>
      <c r="B170" s="2">
        <v>45960</v>
      </c>
      <c r="C170" t="s">
        <v>1027</v>
      </c>
      <c r="D170" t="s">
        <v>1013</v>
      </c>
      <c r="E170" t="s">
        <v>1041</v>
      </c>
      <c r="F170" t="s">
        <v>1061</v>
      </c>
      <c r="G170">
        <v>2</v>
      </c>
      <c r="H170" s="4">
        <v>5000</v>
      </c>
      <c r="I170" s="4">
        <v>3000</v>
      </c>
      <c r="J170" s="4">
        <v>10000</v>
      </c>
      <c r="K170" t="s">
        <v>1060</v>
      </c>
      <c r="L170" s="5"/>
    </row>
    <row r="171" spans="1:12">
      <c r="A171" t="s">
        <v>45</v>
      </c>
      <c r="B171" s="2">
        <v>45959</v>
      </c>
      <c r="C171" t="s">
        <v>1025</v>
      </c>
      <c r="D171" t="s">
        <v>1013</v>
      </c>
      <c r="E171" t="s">
        <v>1044</v>
      </c>
      <c r="F171" t="s">
        <v>1062</v>
      </c>
      <c r="G171">
        <v>1</v>
      </c>
      <c r="H171" s="4">
        <v>8000</v>
      </c>
      <c r="I171" s="4">
        <v>2500</v>
      </c>
      <c r="J171" s="4">
        <v>8000</v>
      </c>
      <c r="K171" t="s">
        <v>1060</v>
      </c>
      <c r="L171" s="5"/>
    </row>
    <row r="172" spans="1:12">
      <c r="A172" t="s">
        <v>614</v>
      </c>
      <c r="B172" s="2">
        <v>45959</v>
      </c>
      <c r="C172" t="s">
        <v>1025</v>
      </c>
      <c r="D172" t="s">
        <v>1012</v>
      </c>
      <c r="E172" t="s">
        <v>1042</v>
      </c>
      <c r="F172" t="s">
        <v>1019</v>
      </c>
      <c r="G172">
        <v>1</v>
      </c>
      <c r="H172" s="4">
        <v>3000</v>
      </c>
      <c r="I172" s="4">
        <v>800</v>
      </c>
      <c r="J172" s="4">
        <v>3000</v>
      </c>
      <c r="K172" t="s">
        <v>1058</v>
      </c>
      <c r="L172" s="5"/>
    </row>
    <row r="173" spans="1:12">
      <c r="A173" t="s">
        <v>854</v>
      </c>
      <c r="B173" s="2">
        <v>45959</v>
      </c>
      <c r="C173" t="s">
        <v>1025</v>
      </c>
      <c r="D173" t="s">
        <v>1011</v>
      </c>
      <c r="E173" t="s">
        <v>1042</v>
      </c>
      <c r="F173" t="s">
        <v>1015</v>
      </c>
      <c r="G173">
        <v>1</v>
      </c>
      <c r="H173" s="4">
        <v>4000</v>
      </c>
      <c r="I173" s="4">
        <v>1000</v>
      </c>
      <c r="J173" s="4">
        <v>4000</v>
      </c>
      <c r="K173" t="s">
        <v>1060</v>
      </c>
      <c r="L173" s="5"/>
    </row>
    <row r="174" spans="1:12">
      <c r="A174" t="s">
        <v>237</v>
      </c>
      <c r="B174" s="2">
        <v>45958</v>
      </c>
      <c r="C174" t="s">
        <v>1025</v>
      </c>
      <c r="D174" t="s">
        <v>1011</v>
      </c>
      <c r="E174" t="s">
        <v>1042</v>
      </c>
      <c r="F174" t="s">
        <v>1022</v>
      </c>
      <c r="G174">
        <v>2</v>
      </c>
      <c r="H174" s="4">
        <v>5000</v>
      </c>
      <c r="I174" s="4">
        <v>3000</v>
      </c>
      <c r="J174" s="4">
        <v>10000</v>
      </c>
      <c r="K174" t="s">
        <v>1059</v>
      </c>
      <c r="L174" s="5"/>
    </row>
    <row r="175" spans="1:12">
      <c r="A175" t="s">
        <v>692</v>
      </c>
      <c r="B175" s="2">
        <v>45958</v>
      </c>
      <c r="C175" t="s">
        <v>1027</v>
      </c>
      <c r="D175" t="s">
        <v>1012</v>
      </c>
      <c r="E175" t="s">
        <v>1042</v>
      </c>
      <c r="F175" t="s">
        <v>1022</v>
      </c>
      <c r="G175">
        <v>2</v>
      </c>
      <c r="H175" s="4">
        <v>5000</v>
      </c>
      <c r="I175" s="4">
        <v>3000</v>
      </c>
      <c r="J175" s="4">
        <v>10000</v>
      </c>
      <c r="K175" t="s">
        <v>1058</v>
      </c>
      <c r="L175" s="5"/>
    </row>
    <row r="176" spans="1:12">
      <c r="A176" t="s">
        <v>28</v>
      </c>
      <c r="B176" s="2">
        <v>45957</v>
      </c>
      <c r="C176" t="s">
        <v>1026</v>
      </c>
      <c r="D176" t="s">
        <v>1011</v>
      </c>
      <c r="E176" t="s">
        <v>1043</v>
      </c>
      <c r="F176" t="s">
        <v>1018</v>
      </c>
      <c r="G176">
        <v>1</v>
      </c>
      <c r="H176" s="4">
        <v>2500</v>
      </c>
      <c r="I176" s="4">
        <v>600</v>
      </c>
      <c r="J176" s="4">
        <v>2500</v>
      </c>
      <c r="K176" t="s">
        <v>1058</v>
      </c>
      <c r="L176" s="5"/>
    </row>
    <row r="177" spans="1:12">
      <c r="A177" t="s">
        <v>179</v>
      </c>
      <c r="B177" s="2">
        <v>45957</v>
      </c>
      <c r="C177" t="s">
        <v>1026</v>
      </c>
      <c r="D177" t="s">
        <v>1011</v>
      </c>
      <c r="E177" t="s">
        <v>1044</v>
      </c>
      <c r="F177" t="s">
        <v>1063</v>
      </c>
      <c r="G177">
        <v>1</v>
      </c>
      <c r="H177" s="4">
        <v>7000</v>
      </c>
      <c r="I177" s="4">
        <v>2000</v>
      </c>
      <c r="J177" s="4">
        <v>7000</v>
      </c>
      <c r="K177" t="s">
        <v>1058</v>
      </c>
      <c r="L177" s="5"/>
    </row>
    <row r="178" spans="1:12">
      <c r="A178" t="s">
        <v>231</v>
      </c>
      <c r="B178" s="2">
        <v>45957</v>
      </c>
      <c r="C178" t="s">
        <v>1026</v>
      </c>
      <c r="D178" t="s">
        <v>1011</v>
      </c>
      <c r="E178" t="s">
        <v>1042</v>
      </c>
      <c r="F178" t="s">
        <v>1015</v>
      </c>
      <c r="G178">
        <v>1</v>
      </c>
      <c r="H178" s="4">
        <v>4000</v>
      </c>
      <c r="I178" s="4">
        <v>1000</v>
      </c>
      <c r="J178" s="4">
        <v>4000</v>
      </c>
      <c r="K178" t="s">
        <v>1058</v>
      </c>
      <c r="L178" s="5"/>
    </row>
    <row r="179" spans="1:12">
      <c r="A179" t="s">
        <v>755</v>
      </c>
      <c r="B179" s="2">
        <v>45957</v>
      </c>
      <c r="C179" t="s">
        <v>1027</v>
      </c>
      <c r="D179" t="s">
        <v>1013</v>
      </c>
      <c r="E179" t="s">
        <v>1043</v>
      </c>
      <c r="F179" t="s">
        <v>1021</v>
      </c>
      <c r="G179">
        <v>2</v>
      </c>
      <c r="H179" s="4">
        <v>6000</v>
      </c>
      <c r="I179" s="4">
        <v>3600</v>
      </c>
      <c r="J179" s="4">
        <v>12000</v>
      </c>
      <c r="K179" t="s">
        <v>1060</v>
      </c>
      <c r="L179" s="5"/>
    </row>
    <row r="180" spans="1:12">
      <c r="A180" t="s">
        <v>835</v>
      </c>
      <c r="B180" s="2">
        <v>45957</v>
      </c>
      <c r="C180" t="s">
        <v>1026</v>
      </c>
      <c r="D180" t="s">
        <v>1011</v>
      </c>
      <c r="E180" t="s">
        <v>1041</v>
      </c>
      <c r="F180" t="s">
        <v>1061</v>
      </c>
      <c r="G180">
        <v>2</v>
      </c>
      <c r="H180" s="4">
        <v>5000</v>
      </c>
      <c r="I180" s="4">
        <v>3000</v>
      </c>
      <c r="J180" s="4">
        <v>10000</v>
      </c>
      <c r="K180" t="s">
        <v>1059</v>
      </c>
      <c r="L180" s="5"/>
    </row>
    <row r="181" spans="1:12">
      <c r="A181" t="s">
        <v>858</v>
      </c>
      <c r="B181" s="2">
        <v>45957</v>
      </c>
      <c r="C181" t="s">
        <v>1026</v>
      </c>
      <c r="D181" t="s">
        <v>1013</v>
      </c>
      <c r="E181" t="s">
        <v>1041</v>
      </c>
      <c r="F181" t="s">
        <v>1016</v>
      </c>
      <c r="G181">
        <v>1</v>
      </c>
      <c r="H181" s="4">
        <v>3000</v>
      </c>
      <c r="I181" s="4">
        <v>800</v>
      </c>
      <c r="J181" s="4">
        <v>3000</v>
      </c>
      <c r="K181" t="s">
        <v>1058</v>
      </c>
      <c r="L181" s="5"/>
    </row>
    <row r="182" spans="1:12">
      <c r="A182" t="s">
        <v>879</v>
      </c>
      <c r="B182" s="2">
        <v>45957</v>
      </c>
      <c r="C182" t="s">
        <v>1027</v>
      </c>
      <c r="D182" t="s">
        <v>1011</v>
      </c>
      <c r="E182" t="s">
        <v>1043</v>
      </c>
      <c r="F182" t="s">
        <v>1021</v>
      </c>
      <c r="G182">
        <v>1</v>
      </c>
      <c r="H182" s="4">
        <v>6000</v>
      </c>
      <c r="I182" s="4">
        <v>1800</v>
      </c>
      <c r="J182" s="4">
        <v>6000</v>
      </c>
      <c r="K182" t="s">
        <v>1059</v>
      </c>
      <c r="L182" s="5"/>
    </row>
    <row r="183" spans="1:12">
      <c r="A183" t="s">
        <v>412</v>
      </c>
      <c r="B183" s="2">
        <v>45956</v>
      </c>
      <c r="C183" t="s">
        <v>1026</v>
      </c>
      <c r="D183" t="s">
        <v>1013</v>
      </c>
      <c r="E183" t="s">
        <v>1042</v>
      </c>
      <c r="F183" t="s">
        <v>1022</v>
      </c>
      <c r="G183">
        <v>1</v>
      </c>
      <c r="H183" s="4">
        <v>5000</v>
      </c>
      <c r="I183" s="4">
        <v>1500</v>
      </c>
      <c r="J183" s="4">
        <v>5000</v>
      </c>
      <c r="K183" t="s">
        <v>1060</v>
      </c>
      <c r="L183" s="5"/>
    </row>
    <row r="184" spans="1:12">
      <c r="A184" t="s">
        <v>454</v>
      </c>
      <c r="B184" s="2">
        <v>45956</v>
      </c>
      <c r="C184" t="s">
        <v>1026</v>
      </c>
      <c r="D184" t="s">
        <v>1013</v>
      </c>
      <c r="E184" t="s">
        <v>1041</v>
      </c>
      <c r="F184" t="s">
        <v>1017</v>
      </c>
      <c r="G184">
        <v>1</v>
      </c>
      <c r="H184" s="4">
        <v>2500</v>
      </c>
      <c r="I184" s="4">
        <v>700</v>
      </c>
      <c r="J184" s="4">
        <v>2500</v>
      </c>
      <c r="K184" t="s">
        <v>1060</v>
      </c>
      <c r="L184" s="5"/>
    </row>
    <row r="185" spans="1:12">
      <c r="A185" t="s">
        <v>927</v>
      </c>
      <c r="B185" s="2">
        <v>45956</v>
      </c>
      <c r="C185" t="s">
        <v>1027</v>
      </c>
      <c r="D185" t="s">
        <v>1011</v>
      </c>
      <c r="E185" t="s">
        <v>1043</v>
      </c>
      <c r="F185" t="s">
        <v>1021</v>
      </c>
      <c r="G185">
        <v>1</v>
      </c>
      <c r="H185" s="4">
        <v>6000</v>
      </c>
      <c r="I185" s="4">
        <v>1800</v>
      </c>
      <c r="J185" s="4">
        <v>6000</v>
      </c>
      <c r="K185" t="s">
        <v>1060</v>
      </c>
      <c r="L185" s="5"/>
    </row>
    <row r="186" spans="1:12">
      <c r="A186" t="s">
        <v>341</v>
      </c>
      <c r="B186" s="2">
        <v>45955</v>
      </c>
      <c r="C186" t="s">
        <v>1025</v>
      </c>
      <c r="D186" t="s">
        <v>1012</v>
      </c>
      <c r="E186" t="s">
        <v>1042</v>
      </c>
      <c r="F186" t="s">
        <v>1015</v>
      </c>
      <c r="G186">
        <v>1</v>
      </c>
      <c r="H186" s="4">
        <v>4000</v>
      </c>
      <c r="I186" s="4">
        <v>1000</v>
      </c>
      <c r="J186" s="4">
        <v>4000</v>
      </c>
      <c r="K186" t="s">
        <v>1059</v>
      </c>
      <c r="L186" s="5"/>
    </row>
    <row r="187" spans="1:12">
      <c r="A187" t="s">
        <v>983</v>
      </c>
      <c r="B187" s="2">
        <v>45955</v>
      </c>
      <c r="C187" t="s">
        <v>1027</v>
      </c>
      <c r="D187" t="s">
        <v>1012</v>
      </c>
      <c r="E187" t="s">
        <v>1044</v>
      </c>
      <c r="F187" t="s">
        <v>1014</v>
      </c>
      <c r="G187">
        <v>2</v>
      </c>
      <c r="H187" s="4">
        <v>2500</v>
      </c>
      <c r="I187" s="4">
        <v>1000</v>
      </c>
      <c r="J187" s="4">
        <v>5000</v>
      </c>
      <c r="K187" t="s">
        <v>1058</v>
      </c>
      <c r="L187" s="5"/>
    </row>
    <row r="188" spans="1:12">
      <c r="A188" t="s">
        <v>63</v>
      </c>
      <c r="B188" s="2">
        <v>45954</v>
      </c>
      <c r="C188" t="s">
        <v>1025</v>
      </c>
      <c r="D188" t="s">
        <v>1013</v>
      </c>
      <c r="E188" t="s">
        <v>1043</v>
      </c>
      <c r="F188" t="s">
        <v>1021</v>
      </c>
      <c r="G188">
        <v>1</v>
      </c>
      <c r="H188" s="4">
        <v>6000</v>
      </c>
      <c r="I188" s="4">
        <v>1800</v>
      </c>
      <c r="J188" s="4">
        <v>6000</v>
      </c>
      <c r="K188" t="s">
        <v>1060</v>
      </c>
      <c r="L188" s="5"/>
    </row>
    <row r="189" spans="1:12">
      <c r="A189" t="s">
        <v>913</v>
      </c>
      <c r="B189" s="2">
        <v>45954</v>
      </c>
      <c r="C189" t="s">
        <v>1025</v>
      </c>
      <c r="D189" t="s">
        <v>1011</v>
      </c>
      <c r="E189" t="s">
        <v>1042</v>
      </c>
      <c r="F189" t="s">
        <v>1022</v>
      </c>
      <c r="G189">
        <v>1</v>
      </c>
      <c r="H189" s="4">
        <v>5000</v>
      </c>
      <c r="I189" s="4">
        <v>1500</v>
      </c>
      <c r="J189" s="4">
        <v>5000</v>
      </c>
      <c r="K189" t="s">
        <v>1059</v>
      </c>
      <c r="L189" s="5"/>
    </row>
    <row r="190" spans="1:12">
      <c r="A190" t="s">
        <v>265</v>
      </c>
      <c r="B190" s="2">
        <v>45953</v>
      </c>
      <c r="C190" t="s">
        <v>1025</v>
      </c>
      <c r="D190" t="s">
        <v>1013</v>
      </c>
      <c r="E190" t="s">
        <v>1044</v>
      </c>
      <c r="F190" t="s">
        <v>1062</v>
      </c>
      <c r="G190">
        <v>1</v>
      </c>
      <c r="H190" s="4">
        <v>8000</v>
      </c>
      <c r="I190" s="4">
        <v>2500</v>
      </c>
      <c r="J190" s="4">
        <v>8000</v>
      </c>
      <c r="K190" t="s">
        <v>1059</v>
      </c>
      <c r="L190" s="5"/>
    </row>
    <row r="191" spans="1:12">
      <c r="A191" t="s">
        <v>472</v>
      </c>
      <c r="B191" s="2">
        <v>45953</v>
      </c>
      <c r="C191" t="s">
        <v>1025</v>
      </c>
      <c r="D191" t="s">
        <v>1011</v>
      </c>
      <c r="E191" t="s">
        <v>1044</v>
      </c>
      <c r="F191" t="s">
        <v>1014</v>
      </c>
      <c r="G191">
        <v>1</v>
      </c>
      <c r="H191" s="4">
        <v>2500</v>
      </c>
      <c r="I191" s="4">
        <v>500</v>
      </c>
      <c r="J191" s="4">
        <v>2500</v>
      </c>
      <c r="K191" t="s">
        <v>1058</v>
      </c>
      <c r="L191" s="5"/>
    </row>
    <row r="192" spans="1:12">
      <c r="A192" t="s">
        <v>939</v>
      </c>
      <c r="B192" s="2">
        <v>45953</v>
      </c>
      <c r="C192" t="s">
        <v>1025</v>
      </c>
      <c r="D192" t="s">
        <v>1013</v>
      </c>
      <c r="E192" t="s">
        <v>1042</v>
      </c>
      <c r="F192" t="s">
        <v>1019</v>
      </c>
      <c r="G192">
        <v>1</v>
      </c>
      <c r="H192" s="4">
        <v>3000</v>
      </c>
      <c r="I192" s="4">
        <v>800</v>
      </c>
      <c r="J192" s="4">
        <v>3000</v>
      </c>
      <c r="K192" t="s">
        <v>1060</v>
      </c>
      <c r="L192" s="5"/>
    </row>
    <row r="193" spans="1:12">
      <c r="A193" t="s">
        <v>996</v>
      </c>
      <c r="B193" s="2">
        <v>45953</v>
      </c>
      <c r="C193" t="s">
        <v>1025</v>
      </c>
      <c r="D193" t="s">
        <v>1011</v>
      </c>
      <c r="E193" t="s">
        <v>1044</v>
      </c>
      <c r="F193" t="s">
        <v>1062</v>
      </c>
      <c r="G193">
        <v>1</v>
      </c>
      <c r="H193" s="4">
        <v>8000</v>
      </c>
      <c r="I193" s="4">
        <v>2500</v>
      </c>
      <c r="J193" s="4">
        <v>8000</v>
      </c>
      <c r="K193" t="s">
        <v>1060</v>
      </c>
      <c r="L193" s="5"/>
    </row>
    <row r="194" spans="1:12">
      <c r="A194" t="s">
        <v>118</v>
      </c>
      <c r="B194" s="2">
        <v>45952</v>
      </c>
      <c r="C194" t="s">
        <v>1026</v>
      </c>
      <c r="D194" t="s">
        <v>1012</v>
      </c>
      <c r="E194" t="s">
        <v>1044</v>
      </c>
      <c r="F194" t="s">
        <v>1020</v>
      </c>
      <c r="G194">
        <v>1</v>
      </c>
      <c r="H194" s="4">
        <v>7500</v>
      </c>
      <c r="I194" s="4">
        <v>2200</v>
      </c>
      <c r="J194" s="4">
        <v>7500</v>
      </c>
      <c r="K194" t="s">
        <v>1059</v>
      </c>
      <c r="L194" s="5"/>
    </row>
    <row r="195" spans="1:12">
      <c r="A195" t="s">
        <v>133</v>
      </c>
      <c r="B195" s="2">
        <v>45952</v>
      </c>
      <c r="C195" t="s">
        <v>1025</v>
      </c>
      <c r="D195" t="s">
        <v>1012</v>
      </c>
      <c r="E195" t="s">
        <v>1041</v>
      </c>
      <c r="F195" t="s">
        <v>1061</v>
      </c>
      <c r="G195">
        <v>1</v>
      </c>
      <c r="H195" s="4">
        <v>5000</v>
      </c>
      <c r="I195" s="4">
        <v>1500</v>
      </c>
      <c r="J195" s="4">
        <v>5000</v>
      </c>
      <c r="K195" t="s">
        <v>1058</v>
      </c>
      <c r="L195" s="5"/>
    </row>
    <row r="196" spans="1:12">
      <c r="A196" t="s">
        <v>539</v>
      </c>
      <c r="B196" s="2">
        <v>45952</v>
      </c>
      <c r="C196" t="s">
        <v>1027</v>
      </c>
      <c r="D196" t="s">
        <v>1012</v>
      </c>
      <c r="E196" t="s">
        <v>1044</v>
      </c>
      <c r="F196" t="s">
        <v>1063</v>
      </c>
      <c r="G196">
        <v>2</v>
      </c>
      <c r="H196" s="4">
        <v>7000</v>
      </c>
      <c r="I196" s="4">
        <v>4000</v>
      </c>
      <c r="J196" s="4">
        <v>14000</v>
      </c>
      <c r="K196" t="s">
        <v>1058</v>
      </c>
      <c r="L196" s="5"/>
    </row>
    <row r="197" spans="1:12">
      <c r="A197" t="s">
        <v>572</v>
      </c>
      <c r="B197" s="2">
        <v>45952</v>
      </c>
      <c r="C197" t="s">
        <v>1026</v>
      </c>
      <c r="D197" t="s">
        <v>1012</v>
      </c>
      <c r="E197" t="s">
        <v>1044</v>
      </c>
      <c r="F197" t="s">
        <v>1020</v>
      </c>
      <c r="G197">
        <v>1</v>
      </c>
      <c r="H197" s="4">
        <v>7500</v>
      </c>
      <c r="I197" s="4">
        <v>2200</v>
      </c>
      <c r="J197" s="4">
        <v>7500</v>
      </c>
      <c r="K197" t="s">
        <v>1059</v>
      </c>
      <c r="L197" s="5"/>
    </row>
    <row r="198" spans="1:12">
      <c r="A198" t="s">
        <v>361</v>
      </c>
      <c r="B198" s="2">
        <v>45951</v>
      </c>
      <c r="C198" t="s">
        <v>1027</v>
      </c>
      <c r="D198" t="s">
        <v>1011</v>
      </c>
      <c r="E198" t="s">
        <v>1043</v>
      </c>
      <c r="F198" t="s">
        <v>1023</v>
      </c>
      <c r="G198">
        <v>1</v>
      </c>
      <c r="H198" s="4">
        <v>3000</v>
      </c>
      <c r="I198" s="4">
        <v>700</v>
      </c>
      <c r="J198" s="4">
        <v>3000</v>
      </c>
      <c r="K198" t="s">
        <v>1058</v>
      </c>
      <c r="L198" s="5"/>
    </row>
    <row r="199" spans="1:12">
      <c r="A199" t="s">
        <v>723</v>
      </c>
      <c r="B199" s="2">
        <v>45951</v>
      </c>
      <c r="C199" t="s">
        <v>1027</v>
      </c>
      <c r="D199" t="s">
        <v>1012</v>
      </c>
      <c r="E199" t="s">
        <v>1044</v>
      </c>
      <c r="F199" t="s">
        <v>1020</v>
      </c>
      <c r="G199">
        <v>2</v>
      </c>
      <c r="H199" s="4">
        <v>7500</v>
      </c>
      <c r="I199" s="4">
        <v>4400</v>
      </c>
      <c r="J199" s="4">
        <v>15000</v>
      </c>
      <c r="K199" t="s">
        <v>1058</v>
      </c>
      <c r="L199" s="5"/>
    </row>
    <row r="200" spans="1:12">
      <c r="A200" t="s">
        <v>922</v>
      </c>
      <c r="B200" s="2">
        <v>45951</v>
      </c>
      <c r="C200" t="s">
        <v>1025</v>
      </c>
      <c r="D200" t="s">
        <v>1013</v>
      </c>
      <c r="E200" t="s">
        <v>1041</v>
      </c>
      <c r="F200" t="s">
        <v>1061</v>
      </c>
      <c r="G200">
        <v>1</v>
      </c>
      <c r="H200" s="4">
        <v>5000</v>
      </c>
      <c r="I200" s="4">
        <v>1500</v>
      </c>
      <c r="J200" s="4">
        <v>5000</v>
      </c>
      <c r="K200" t="s">
        <v>1059</v>
      </c>
      <c r="L200" s="5"/>
    </row>
    <row r="201" spans="1:12">
      <c r="A201" t="s">
        <v>923</v>
      </c>
      <c r="B201" s="2">
        <v>45951</v>
      </c>
      <c r="C201" t="s">
        <v>1027</v>
      </c>
      <c r="D201" t="s">
        <v>1013</v>
      </c>
      <c r="E201" t="s">
        <v>1042</v>
      </c>
      <c r="F201" t="s">
        <v>1015</v>
      </c>
      <c r="G201">
        <v>1</v>
      </c>
      <c r="H201" s="4">
        <v>4000</v>
      </c>
      <c r="I201" s="4">
        <v>1000</v>
      </c>
      <c r="J201" s="4">
        <v>4000</v>
      </c>
      <c r="K201" t="s">
        <v>1059</v>
      </c>
      <c r="L201" s="5"/>
    </row>
    <row r="202" spans="1:12">
      <c r="A202" t="s">
        <v>530</v>
      </c>
      <c r="B202" s="2">
        <v>45950</v>
      </c>
      <c r="C202" t="s">
        <v>1025</v>
      </c>
      <c r="D202" t="s">
        <v>1013</v>
      </c>
      <c r="E202" t="s">
        <v>1043</v>
      </c>
      <c r="F202" t="s">
        <v>1018</v>
      </c>
      <c r="G202">
        <v>1</v>
      </c>
      <c r="H202" s="4">
        <v>2500</v>
      </c>
      <c r="I202" s="4">
        <v>600</v>
      </c>
      <c r="J202" s="4">
        <v>2500</v>
      </c>
      <c r="K202" t="s">
        <v>1060</v>
      </c>
      <c r="L202" s="5"/>
    </row>
    <row r="203" spans="1:12">
      <c r="A203" t="s">
        <v>621</v>
      </c>
      <c r="B203" s="2">
        <v>45949</v>
      </c>
      <c r="C203" t="s">
        <v>1026</v>
      </c>
      <c r="D203" t="s">
        <v>1012</v>
      </c>
      <c r="E203" t="s">
        <v>1041</v>
      </c>
      <c r="F203" t="s">
        <v>1016</v>
      </c>
      <c r="G203">
        <v>2</v>
      </c>
      <c r="H203" s="4">
        <v>3000</v>
      </c>
      <c r="I203" s="4">
        <v>1600</v>
      </c>
      <c r="J203" s="4">
        <v>6000</v>
      </c>
      <c r="K203" t="s">
        <v>1060</v>
      </c>
      <c r="L203" s="5"/>
    </row>
    <row r="204" spans="1:12">
      <c r="A204" t="s">
        <v>435</v>
      </c>
      <c r="B204" s="2">
        <v>45948</v>
      </c>
      <c r="C204" t="s">
        <v>1025</v>
      </c>
      <c r="D204" t="s">
        <v>1013</v>
      </c>
      <c r="E204" t="s">
        <v>1041</v>
      </c>
      <c r="F204" t="s">
        <v>1061</v>
      </c>
      <c r="G204">
        <v>1</v>
      </c>
      <c r="H204" s="4">
        <v>5000</v>
      </c>
      <c r="I204" s="4">
        <v>1500</v>
      </c>
      <c r="J204" s="4">
        <v>5000</v>
      </c>
      <c r="K204" t="s">
        <v>1058</v>
      </c>
      <c r="L204" s="5"/>
    </row>
    <row r="205" spans="1:12">
      <c r="A205" t="s">
        <v>516</v>
      </c>
      <c r="B205" s="2">
        <v>45948</v>
      </c>
      <c r="C205" t="s">
        <v>1026</v>
      </c>
      <c r="D205" t="s">
        <v>1011</v>
      </c>
      <c r="E205" t="s">
        <v>1041</v>
      </c>
      <c r="F205" t="s">
        <v>1016</v>
      </c>
      <c r="G205">
        <v>1</v>
      </c>
      <c r="H205" s="4">
        <v>3000</v>
      </c>
      <c r="I205" s="4">
        <v>800</v>
      </c>
      <c r="J205" s="4">
        <v>3000</v>
      </c>
      <c r="K205" t="s">
        <v>1060</v>
      </c>
      <c r="L205" s="5"/>
    </row>
    <row r="206" spans="1:12">
      <c r="A206" t="s">
        <v>685</v>
      </c>
      <c r="B206" s="2">
        <v>45948</v>
      </c>
      <c r="C206" t="s">
        <v>1025</v>
      </c>
      <c r="D206" t="s">
        <v>1013</v>
      </c>
      <c r="E206" t="s">
        <v>1042</v>
      </c>
      <c r="F206" t="s">
        <v>1022</v>
      </c>
      <c r="G206">
        <v>1</v>
      </c>
      <c r="H206" s="4">
        <v>5000</v>
      </c>
      <c r="I206" s="4">
        <v>1500</v>
      </c>
      <c r="J206" s="4">
        <v>5000</v>
      </c>
      <c r="K206" t="s">
        <v>1060</v>
      </c>
      <c r="L206" s="5"/>
    </row>
    <row r="207" spans="1:12">
      <c r="A207" t="s">
        <v>136</v>
      </c>
      <c r="B207" s="2">
        <v>45947</v>
      </c>
      <c r="C207" t="s">
        <v>1027</v>
      </c>
      <c r="D207" t="s">
        <v>1012</v>
      </c>
      <c r="E207" t="s">
        <v>1042</v>
      </c>
      <c r="F207" t="s">
        <v>1019</v>
      </c>
      <c r="G207">
        <v>1</v>
      </c>
      <c r="H207" s="4">
        <v>3000</v>
      </c>
      <c r="I207" s="4">
        <v>800</v>
      </c>
      <c r="J207" s="4">
        <v>3000</v>
      </c>
      <c r="K207" t="s">
        <v>1060</v>
      </c>
      <c r="L207" s="5"/>
    </row>
    <row r="208" spans="1:12">
      <c r="A208" t="s">
        <v>598</v>
      </c>
      <c r="B208" s="2">
        <v>45947</v>
      </c>
      <c r="C208" t="s">
        <v>1026</v>
      </c>
      <c r="D208" t="s">
        <v>1012</v>
      </c>
      <c r="E208" t="s">
        <v>1043</v>
      </c>
      <c r="F208" t="s">
        <v>1018</v>
      </c>
      <c r="G208">
        <v>1</v>
      </c>
      <c r="H208" s="4">
        <v>2500</v>
      </c>
      <c r="I208" s="4">
        <v>600</v>
      </c>
      <c r="J208" s="4">
        <v>2500</v>
      </c>
      <c r="K208" t="s">
        <v>1060</v>
      </c>
      <c r="L208" s="5"/>
    </row>
    <row r="209" spans="1:12">
      <c r="A209" t="s">
        <v>382</v>
      </c>
      <c r="B209" s="2">
        <v>45946</v>
      </c>
      <c r="C209" t="s">
        <v>1027</v>
      </c>
      <c r="D209" t="s">
        <v>1013</v>
      </c>
      <c r="E209" t="s">
        <v>1042</v>
      </c>
      <c r="F209" t="s">
        <v>1015</v>
      </c>
      <c r="G209">
        <v>1</v>
      </c>
      <c r="H209" s="4">
        <v>4000</v>
      </c>
      <c r="I209" s="4">
        <v>1000</v>
      </c>
      <c r="J209" s="4">
        <v>4000</v>
      </c>
      <c r="K209" t="s">
        <v>1059</v>
      </c>
      <c r="L209" s="5"/>
    </row>
    <row r="210" spans="1:12">
      <c r="A210" t="s">
        <v>492</v>
      </c>
      <c r="B210" s="2">
        <v>45946</v>
      </c>
      <c r="C210" t="s">
        <v>1027</v>
      </c>
      <c r="D210" t="s">
        <v>1011</v>
      </c>
      <c r="E210" t="s">
        <v>1044</v>
      </c>
      <c r="F210" t="s">
        <v>1020</v>
      </c>
      <c r="G210">
        <v>1</v>
      </c>
      <c r="H210" s="4">
        <v>7500</v>
      </c>
      <c r="I210" s="4">
        <v>2200</v>
      </c>
      <c r="J210" s="4">
        <v>7500</v>
      </c>
      <c r="K210" t="s">
        <v>1059</v>
      </c>
      <c r="L210" s="5"/>
    </row>
    <row r="211" spans="1:12">
      <c r="A211" t="s">
        <v>11</v>
      </c>
      <c r="B211" s="2">
        <v>45945</v>
      </c>
      <c r="C211" t="s">
        <v>1027</v>
      </c>
      <c r="D211" t="s">
        <v>1011</v>
      </c>
      <c r="E211" t="s">
        <v>1044</v>
      </c>
      <c r="F211" t="s">
        <v>1014</v>
      </c>
      <c r="G211">
        <v>1</v>
      </c>
      <c r="H211" s="4">
        <v>2500</v>
      </c>
      <c r="I211" s="4">
        <v>500</v>
      </c>
      <c r="J211" s="4">
        <v>2500</v>
      </c>
      <c r="K211" t="s">
        <v>1060</v>
      </c>
      <c r="L211" s="5"/>
    </row>
    <row r="212" spans="1:12">
      <c r="A212" t="s">
        <v>78</v>
      </c>
      <c r="B212" s="2">
        <v>45945</v>
      </c>
      <c r="C212" t="s">
        <v>1027</v>
      </c>
      <c r="D212" t="s">
        <v>1013</v>
      </c>
      <c r="E212" t="s">
        <v>1042</v>
      </c>
      <c r="F212" t="s">
        <v>1022</v>
      </c>
      <c r="G212">
        <v>2</v>
      </c>
      <c r="H212" s="4">
        <v>5000</v>
      </c>
      <c r="I212" s="4">
        <v>3000</v>
      </c>
      <c r="J212" s="4">
        <v>10000</v>
      </c>
      <c r="K212" t="s">
        <v>1059</v>
      </c>
      <c r="L212" s="5"/>
    </row>
    <row r="213" spans="1:12">
      <c r="A213" t="s">
        <v>756</v>
      </c>
      <c r="B213" s="2">
        <v>45945</v>
      </c>
      <c r="C213" t="s">
        <v>1025</v>
      </c>
      <c r="D213" t="s">
        <v>1011</v>
      </c>
      <c r="E213" t="s">
        <v>1042</v>
      </c>
      <c r="F213" t="s">
        <v>1015</v>
      </c>
      <c r="G213">
        <v>1</v>
      </c>
      <c r="H213" s="4">
        <v>4000</v>
      </c>
      <c r="I213" s="4">
        <v>1000</v>
      </c>
      <c r="J213" s="4">
        <v>4000</v>
      </c>
      <c r="K213" t="s">
        <v>1060</v>
      </c>
      <c r="L213" s="5"/>
    </row>
    <row r="214" spans="1:12">
      <c r="A214" t="s">
        <v>456</v>
      </c>
      <c r="B214" s="2">
        <v>45944</v>
      </c>
      <c r="C214" t="s">
        <v>1026</v>
      </c>
      <c r="D214" t="s">
        <v>1011</v>
      </c>
      <c r="E214" t="s">
        <v>1043</v>
      </c>
      <c r="F214" t="s">
        <v>1023</v>
      </c>
      <c r="G214">
        <v>1</v>
      </c>
      <c r="H214" s="4">
        <v>3000</v>
      </c>
      <c r="I214" s="4">
        <v>700</v>
      </c>
      <c r="J214" s="4">
        <v>3000</v>
      </c>
      <c r="K214" t="s">
        <v>1058</v>
      </c>
      <c r="L214" s="5"/>
    </row>
    <row r="215" spans="1:12">
      <c r="A215" t="s">
        <v>560</v>
      </c>
      <c r="B215" s="2">
        <v>45944</v>
      </c>
      <c r="C215" t="s">
        <v>1026</v>
      </c>
      <c r="D215" t="s">
        <v>1012</v>
      </c>
      <c r="E215" t="s">
        <v>1041</v>
      </c>
      <c r="F215" t="s">
        <v>1016</v>
      </c>
      <c r="G215">
        <v>1</v>
      </c>
      <c r="H215" s="4">
        <v>3000</v>
      </c>
      <c r="I215" s="4">
        <v>800</v>
      </c>
      <c r="J215" s="4">
        <v>3000</v>
      </c>
      <c r="K215" t="s">
        <v>1059</v>
      </c>
      <c r="L215" s="5"/>
    </row>
    <row r="216" spans="1:12">
      <c r="A216" t="s">
        <v>766</v>
      </c>
      <c r="B216" s="2">
        <v>45944</v>
      </c>
      <c r="C216" t="s">
        <v>1027</v>
      </c>
      <c r="D216" t="s">
        <v>1011</v>
      </c>
      <c r="E216" t="s">
        <v>1042</v>
      </c>
      <c r="F216" t="s">
        <v>1022</v>
      </c>
      <c r="G216">
        <v>1</v>
      </c>
      <c r="H216" s="4">
        <v>5000</v>
      </c>
      <c r="I216" s="4">
        <v>1500</v>
      </c>
      <c r="J216" s="4">
        <v>5000</v>
      </c>
      <c r="K216" t="s">
        <v>1058</v>
      </c>
      <c r="L216" s="5"/>
    </row>
    <row r="217" spans="1:12">
      <c r="A217" t="s">
        <v>826</v>
      </c>
      <c r="B217" s="2">
        <v>45944</v>
      </c>
      <c r="C217" t="s">
        <v>1025</v>
      </c>
      <c r="D217" t="s">
        <v>1011</v>
      </c>
      <c r="E217" t="s">
        <v>1043</v>
      </c>
      <c r="F217" t="s">
        <v>1023</v>
      </c>
      <c r="G217">
        <v>1</v>
      </c>
      <c r="H217" s="4">
        <v>3000</v>
      </c>
      <c r="I217" s="4">
        <v>700</v>
      </c>
      <c r="J217" s="4">
        <v>3000</v>
      </c>
      <c r="K217" t="s">
        <v>1058</v>
      </c>
      <c r="L217" s="5"/>
    </row>
    <row r="218" spans="1:12">
      <c r="A218" t="s">
        <v>162</v>
      </c>
      <c r="B218" s="2">
        <v>45943</v>
      </c>
      <c r="C218" t="s">
        <v>1026</v>
      </c>
      <c r="D218" t="s">
        <v>1011</v>
      </c>
      <c r="E218" t="s">
        <v>1044</v>
      </c>
      <c r="F218" t="s">
        <v>1014</v>
      </c>
      <c r="G218">
        <v>1</v>
      </c>
      <c r="H218" s="4">
        <v>2500</v>
      </c>
      <c r="I218" s="4">
        <v>500</v>
      </c>
      <c r="J218" s="4">
        <v>2500</v>
      </c>
      <c r="K218" t="s">
        <v>1060</v>
      </c>
      <c r="L218" s="5"/>
    </row>
    <row r="219" spans="1:12">
      <c r="A219" t="s">
        <v>403</v>
      </c>
      <c r="B219" s="2">
        <v>45943</v>
      </c>
      <c r="C219" t="s">
        <v>1026</v>
      </c>
      <c r="D219" t="s">
        <v>1013</v>
      </c>
      <c r="E219" t="s">
        <v>1042</v>
      </c>
      <c r="F219" t="s">
        <v>1019</v>
      </c>
      <c r="G219">
        <v>1</v>
      </c>
      <c r="H219" s="4">
        <v>3000</v>
      </c>
      <c r="I219" s="4">
        <v>800</v>
      </c>
      <c r="J219" s="4">
        <v>3000</v>
      </c>
      <c r="K219" t="s">
        <v>1059</v>
      </c>
      <c r="L219" s="5"/>
    </row>
    <row r="220" spans="1:12">
      <c r="A220" t="s">
        <v>823</v>
      </c>
      <c r="B220" s="2">
        <v>45943</v>
      </c>
      <c r="C220" t="s">
        <v>1025</v>
      </c>
      <c r="D220" t="s">
        <v>1013</v>
      </c>
      <c r="E220" t="s">
        <v>1044</v>
      </c>
      <c r="F220" t="s">
        <v>1020</v>
      </c>
      <c r="G220">
        <v>1</v>
      </c>
      <c r="H220" s="4">
        <v>7500</v>
      </c>
      <c r="I220" s="4">
        <v>2200</v>
      </c>
      <c r="J220" s="4">
        <v>7500</v>
      </c>
      <c r="K220" t="s">
        <v>1059</v>
      </c>
      <c r="L220" s="5"/>
    </row>
    <row r="221" spans="1:12">
      <c r="A221" t="s">
        <v>145</v>
      </c>
      <c r="B221" s="2">
        <v>45942</v>
      </c>
      <c r="C221" t="s">
        <v>1027</v>
      </c>
      <c r="D221" t="s">
        <v>1011</v>
      </c>
      <c r="E221" t="s">
        <v>1043</v>
      </c>
      <c r="F221" t="s">
        <v>1021</v>
      </c>
      <c r="G221">
        <v>1</v>
      </c>
      <c r="H221" s="4">
        <v>6000</v>
      </c>
      <c r="I221" s="4">
        <v>1800</v>
      </c>
      <c r="J221" s="4">
        <v>6000</v>
      </c>
      <c r="K221" t="s">
        <v>1059</v>
      </c>
      <c r="L221" s="5"/>
    </row>
    <row r="222" spans="1:12">
      <c r="A222" t="s">
        <v>573</v>
      </c>
      <c r="B222" s="2">
        <v>45942</v>
      </c>
      <c r="C222" t="s">
        <v>1027</v>
      </c>
      <c r="D222" t="s">
        <v>1012</v>
      </c>
      <c r="E222" t="s">
        <v>1043</v>
      </c>
      <c r="F222" t="s">
        <v>1023</v>
      </c>
      <c r="G222">
        <v>1</v>
      </c>
      <c r="H222" s="4">
        <v>3000</v>
      </c>
      <c r="I222" s="4">
        <v>700</v>
      </c>
      <c r="J222" s="4">
        <v>3000</v>
      </c>
      <c r="K222" t="s">
        <v>1058</v>
      </c>
      <c r="L222" s="5"/>
    </row>
    <row r="223" spans="1:12">
      <c r="A223" t="s">
        <v>97</v>
      </c>
      <c r="B223" s="2">
        <v>45941</v>
      </c>
      <c r="C223" t="s">
        <v>1027</v>
      </c>
      <c r="D223" t="s">
        <v>1013</v>
      </c>
      <c r="E223" t="s">
        <v>1042</v>
      </c>
      <c r="F223" t="s">
        <v>1022</v>
      </c>
      <c r="G223">
        <v>1</v>
      </c>
      <c r="H223" s="4">
        <v>5000</v>
      </c>
      <c r="I223" s="4">
        <v>1500</v>
      </c>
      <c r="J223" s="4">
        <v>5000</v>
      </c>
      <c r="K223" t="s">
        <v>1058</v>
      </c>
      <c r="L223" s="5"/>
    </row>
    <row r="224" spans="1:12">
      <c r="A224" t="s">
        <v>400</v>
      </c>
      <c r="B224" s="2">
        <v>45941</v>
      </c>
      <c r="C224" t="s">
        <v>1026</v>
      </c>
      <c r="D224" t="s">
        <v>1013</v>
      </c>
      <c r="E224" t="s">
        <v>1044</v>
      </c>
      <c r="F224" t="s">
        <v>1014</v>
      </c>
      <c r="G224">
        <v>1</v>
      </c>
      <c r="H224" s="4">
        <v>2500</v>
      </c>
      <c r="I224" s="4">
        <v>500</v>
      </c>
      <c r="J224" s="4">
        <v>2500</v>
      </c>
      <c r="K224" t="s">
        <v>1058</v>
      </c>
      <c r="L224" s="5"/>
    </row>
    <row r="225" spans="1:12">
      <c r="A225" t="s">
        <v>493</v>
      </c>
      <c r="B225" s="2">
        <v>45941</v>
      </c>
      <c r="C225" t="s">
        <v>1025</v>
      </c>
      <c r="D225" t="s">
        <v>1011</v>
      </c>
      <c r="E225" t="s">
        <v>1041</v>
      </c>
      <c r="F225" t="s">
        <v>1061</v>
      </c>
      <c r="G225">
        <v>1</v>
      </c>
      <c r="H225" s="4">
        <v>5000</v>
      </c>
      <c r="I225" s="4">
        <v>1500</v>
      </c>
      <c r="J225" s="4">
        <v>5000</v>
      </c>
      <c r="K225" t="s">
        <v>1060</v>
      </c>
      <c r="L225" s="5"/>
    </row>
    <row r="226" spans="1:12">
      <c r="A226" t="s">
        <v>616</v>
      </c>
      <c r="B226" s="2">
        <v>45941</v>
      </c>
      <c r="C226" t="s">
        <v>1025</v>
      </c>
      <c r="D226" t="s">
        <v>1011</v>
      </c>
      <c r="E226" t="s">
        <v>1041</v>
      </c>
      <c r="F226" t="s">
        <v>1017</v>
      </c>
      <c r="G226">
        <v>1</v>
      </c>
      <c r="H226" s="4">
        <v>2500</v>
      </c>
      <c r="I226" s="4">
        <v>700</v>
      </c>
      <c r="J226" s="4">
        <v>2500</v>
      </c>
      <c r="K226" t="s">
        <v>1060</v>
      </c>
      <c r="L226" s="5"/>
    </row>
    <row r="227" spans="1:12">
      <c r="A227" t="s">
        <v>722</v>
      </c>
      <c r="B227" s="2">
        <v>45941</v>
      </c>
      <c r="C227" t="s">
        <v>1027</v>
      </c>
      <c r="D227" t="s">
        <v>1012</v>
      </c>
      <c r="E227" t="s">
        <v>1044</v>
      </c>
      <c r="F227" t="s">
        <v>1020</v>
      </c>
      <c r="G227">
        <v>1</v>
      </c>
      <c r="H227" s="4">
        <v>7500</v>
      </c>
      <c r="I227" s="4">
        <v>2200</v>
      </c>
      <c r="J227" s="4">
        <v>7500</v>
      </c>
      <c r="K227" t="s">
        <v>1060</v>
      </c>
      <c r="L227" s="5"/>
    </row>
    <row r="228" spans="1:12">
      <c r="A228" t="s">
        <v>189</v>
      </c>
      <c r="B228" s="2">
        <v>45940</v>
      </c>
      <c r="C228" t="s">
        <v>1027</v>
      </c>
      <c r="D228" t="s">
        <v>1011</v>
      </c>
      <c r="E228" t="s">
        <v>1041</v>
      </c>
      <c r="F228" t="s">
        <v>1016</v>
      </c>
      <c r="G228">
        <v>1</v>
      </c>
      <c r="H228" s="4">
        <v>3000</v>
      </c>
      <c r="I228" s="4">
        <v>800</v>
      </c>
      <c r="J228" s="4">
        <v>3000</v>
      </c>
      <c r="K228" t="s">
        <v>1058</v>
      </c>
      <c r="L228" s="5"/>
    </row>
    <row r="229" spans="1:12">
      <c r="A229" t="s">
        <v>197</v>
      </c>
      <c r="B229" s="2">
        <v>45940</v>
      </c>
      <c r="C229" t="s">
        <v>1025</v>
      </c>
      <c r="D229" t="s">
        <v>1012</v>
      </c>
      <c r="E229" t="s">
        <v>1044</v>
      </c>
      <c r="F229" t="s">
        <v>1062</v>
      </c>
      <c r="G229">
        <v>1</v>
      </c>
      <c r="H229" s="4">
        <v>8000</v>
      </c>
      <c r="I229" s="4">
        <v>2500</v>
      </c>
      <c r="J229" s="4">
        <v>8000</v>
      </c>
      <c r="K229" t="s">
        <v>1058</v>
      </c>
      <c r="L229" s="5"/>
    </row>
    <row r="230" spans="1:12">
      <c r="A230" t="s">
        <v>375</v>
      </c>
      <c r="B230" s="2">
        <v>45940</v>
      </c>
      <c r="C230" t="s">
        <v>1025</v>
      </c>
      <c r="D230" t="s">
        <v>1011</v>
      </c>
      <c r="E230" t="s">
        <v>1044</v>
      </c>
      <c r="F230" t="s">
        <v>1062</v>
      </c>
      <c r="G230">
        <v>1</v>
      </c>
      <c r="H230" s="4">
        <v>8000</v>
      </c>
      <c r="I230" s="4">
        <v>2500</v>
      </c>
      <c r="J230" s="4">
        <v>8000</v>
      </c>
      <c r="K230" t="s">
        <v>1059</v>
      </c>
      <c r="L230" s="5"/>
    </row>
    <row r="231" spans="1:12">
      <c r="A231" t="s">
        <v>41</v>
      </c>
      <c r="B231" s="2">
        <v>45939</v>
      </c>
      <c r="C231" t="s">
        <v>1027</v>
      </c>
      <c r="D231" t="s">
        <v>1012</v>
      </c>
      <c r="E231" t="s">
        <v>1041</v>
      </c>
      <c r="F231" t="s">
        <v>1016</v>
      </c>
      <c r="G231">
        <v>2</v>
      </c>
      <c r="H231" s="4">
        <v>3000</v>
      </c>
      <c r="I231" s="4">
        <v>1600</v>
      </c>
      <c r="J231" s="4">
        <v>6000</v>
      </c>
      <c r="K231" t="s">
        <v>1060</v>
      </c>
      <c r="L231" s="5"/>
    </row>
    <row r="232" spans="1:12">
      <c r="A232" t="s">
        <v>401</v>
      </c>
      <c r="B232" s="2">
        <v>45939</v>
      </c>
      <c r="C232" t="s">
        <v>1026</v>
      </c>
      <c r="D232" t="s">
        <v>1011</v>
      </c>
      <c r="E232" t="s">
        <v>1043</v>
      </c>
      <c r="F232" t="s">
        <v>1018</v>
      </c>
      <c r="G232">
        <v>2</v>
      </c>
      <c r="H232" s="4">
        <v>2500</v>
      </c>
      <c r="I232" s="4">
        <v>1200</v>
      </c>
      <c r="J232" s="4">
        <v>5000</v>
      </c>
      <c r="K232" t="s">
        <v>1060</v>
      </c>
      <c r="L232" s="5"/>
    </row>
    <row r="233" spans="1:12">
      <c r="A233" t="s">
        <v>580</v>
      </c>
      <c r="B233" s="2">
        <v>45939</v>
      </c>
      <c r="C233" t="s">
        <v>1025</v>
      </c>
      <c r="D233" t="s">
        <v>1013</v>
      </c>
      <c r="E233" t="s">
        <v>1042</v>
      </c>
      <c r="F233" t="s">
        <v>1019</v>
      </c>
      <c r="G233">
        <v>2</v>
      </c>
      <c r="H233" s="4">
        <v>3000</v>
      </c>
      <c r="I233" s="4">
        <v>1600</v>
      </c>
      <c r="J233" s="4">
        <v>6000</v>
      </c>
      <c r="K233" t="s">
        <v>1060</v>
      </c>
      <c r="L233" s="5"/>
    </row>
    <row r="234" spans="1:12">
      <c r="A234" t="s">
        <v>948</v>
      </c>
      <c r="B234" s="2">
        <v>45939</v>
      </c>
      <c r="C234" t="s">
        <v>1025</v>
      </c>
      <c r="D234" t="s">
        <v>1011</v>
      </c>
      <c r="E234" t="s">
        <v>1042</v>
      </c>
      <c r="F234" t="s">
        <v>1019</v>
      </c>
      <c r="G234">
        <v>1</v>
      </c>
      <c r="H234" s="4">
        <v>3000</v>
      </c>
      <c r="I234" s="4">
        <v>800</v>
      </c>
      <c r="J234" s="4">
        <v>3000</v>
      </c>
      <c r="K234" t="s">
        <v>1060</v>
      </c>
      <c r="L234" s="5"/>
    </row>
    <row r="235" spans="1:12">
      <c r="A235" t="s">
        <v>960</v>
      </c>
      <c r="B235" s="2">
        <v>45939</v>
      </c>
      <c r="C235" t="s">
        <v>1026</v>
      </c>
      <c r="D235" t="s">
        <v>1011</v>
      </c>
      <c r="E235" t="s">
        <v>1041</v>
      </c>
      <c r="F235" t="s">
        <v>1017</v>
      </c>
      <c r="G235">
        <v>1</v>
      </c>
      <c r="H235" s="4">
        <v>2500</v>
      </c>
      <c r="I235" s="4">
        <v>700</v>
      </c>
      <c r="J235" s="4">
        <v>2500</v>
      </c>
      <c r="K235" t="s">
        <v>1060</v>
      </c>
      <c r="L235" s="5"/>
    </row>
    <row r="236" spans="1:12">
      <c r="A236" t="s">
        <v>79</v>
      </c>
      <c r="B236" s="2">
        <v>45937</v>
      </c>
      <c r="C236" t="s">
        <v>1027</v>
      </c>
      <c r="D236" t="s">
        <v>1012</v>
      </c>
      <c r="E236" t="s">
        <v>1042</v>
      </c>
      <c r="F236" t="s">
        <v>1022</v>
      </c>
      <c r="G236">
        <v>1</v>
      </c>
      <c r="H236" s="4">
        <v>5000</v>
      </c>
      <c r="I236" s="4">
        <v>1500</v>
      </c>
      <c r="J236" s="4">
        <v>5000</v>
      </c>
      <c r="K236" t="s">
        <v>1060</v>
      </c>
      <c r="L236" s="5"/>
    </row>
    <row r="237" spans="1:12">
      <c r="A237" t="s">
        <v>342</v>
      </c>
      <c r="B237" s="2">
        <v>45937</v>
      </c>
      <c r="C237" t="s">
        <v>1026</v>
      </c>
      <c r="D237" t="s">
        <v>1011</v>
      </c>
      <c r="E237" t="s">
        <v>1041</v>
      </c>
      <c r="F237" t="s">
        <v>1061</v>
      </c>
      <c r="G237">
        <v>1</v>
      </c>
      <c r="H237" s="4">
        <v>5000</v>
      </c>
      <c r="I237" s="4">
        <v>1500</v>
      </c>
      <c r="J237" s="4">
        <v>5000</v>
      </c>
      <c r="K237" t="s">
        <v>1059</v>
      </c>
      <c r="L237" s="5"/>
    </row>
    <row r="238" spans="1:12">
      <c r="A238" t="s">
        <v>582</v>
      </c>
      <c r="B238" s="2">
        <v>45937</v>
      </c>
      <c r="C238" t="s">
        <v>1027</v>
      </c>
      <c r="D238" t="s">
        <v>1012</v>
      </c>
      <c r="E238" t="s">
        <v>1042</v>
      </c>
      <c r="F238" t="s">
        <v>1019</v>
      </c>
      <c r="G238">
        <v>2</v>
      </c>
      <c r="H238" s="4">
        <v>3000</v>
      </c>
      <c r="I238" s="4">
        <v>1600</v>
      </c>
      <c r="J238" s="4">
        <v>6000</v>
      </c>
      <c r="K238" t="s">
        <v>1059</v>
      </c>
      <c r="L238" s="5"/>
    </row>
    <row r="239" spans="1:12">
      <c r="A239" t="s">
        <v>883</v>
      </c>
      <c r="B239" s="2">
        <v>45937</v>
      </c>
      <c r="C239" t="s">
        <v>1026</v>
      </c>
      <c r="D239" t="s">
        <v>1011</v>
      </c>
      <c r="E239" t="s">
        <v>1042</v>
      </c>
      <c r="F239" t="s">
        <v>1022</v>
      </c>
      <c r="G239">
        <v>2</v>
      </c>
      <c r="H239" s="4">
        <v>5000</v>
      </c>
      <c r="I239" s="4">
        <v>3000</v>
      </c>
      <c r="J239" s="4">
        <v>10000</v>
      </c>
      <c r="K239" t="s">
        <v>1059</v>
      </c>
      <c r="L239" s="5"/>
    </row>
    <row r="240" spans="1:12">
      <c r="A240" t="s">
        <v>171</v>
      </c>
      <c r="B240" s="2">
        <v>45936</v>
      </c>
      <c r="C240" t="s">
        <v>1027</v>
      </c>
      <c r="D240" t="s">
        <v>1011</v>
      </c>
      <c r="E240" t="s">
        <v>1044</v>
      </c>
      <c r="F240" t="s">
        <v>1020</v>
      </c>
      <c r="G240">
        <v>1</v>
      </c>
      <c r="H240" s="4">
        <v>7500</v>
      </c>
      <c r="I240" s="4">
        <v>2200</v>
      </c>
      <c r="J240" s="4">
        <v>7500</v>
      </c>
      <c r="K240" t="s">
        <v>1059</v>
      </c>
      <c r="L240" s="5"/>
    </row>
    <row r="241" spans="1:12">
      <c r="A241" t="s">
        <v>346</v>
      </c>
      <c r="B241" s="2">
        <v>45936</v>
      </c>
      <c r="C241" t="s">
        <v>1026</v>
      </c>
      <c r="D241" t="s">
        <v>1012</v>
      </c>
      <c r="E241" t="s">
        <v>1044</v>
      </c>
      <c r="F241" t="s">
        <v>1063</v>
      </c>
      <c r="G241">
        <v>2</v>
      </c>
      <c r="H241" s="4">
        <v>7000</v>
      </c>
      <c r="I241" s="4">
        <v>4000</v>
      </c>
      <c r="J241" s="4">
        <v>14000</v>
      </c>
      <c r="K241" t="s">
        <v>1059</v>
      </c>
      <c r="L241" s="5"/>
    </row>
    <row r="242" spans="1:12">
      <c r="A242" t="s">
        <v>581</v>
      </c>
      <c r="B242" s="2">
        <v>45936</v>
      </c>
      <c r="C242" t="s">
        <v>1026</v>
      </c>
      <c r="D242" t="s">
        <v>1011</v>
      </c>
      <c r="E242" t="s">
        <v>1041</v>
      </c>
      <c r="F242" t="s">
        <v>1017</v>
      </c>
      <c r="G242">
        <v>1</v>
      </c>
      <c r="H242" s="4">
        <v>2500</v>
      </c>
      <c r="I242" s="4">
        <v>700</v>
      </c>
      <c r="J242" s="4">
        <v>2500</v>
      </c>
      <c r="K242" t="s">
        <v>1059</v>
      </c>
      <c r="L242" s="5"/>
    </row>
    <row r="243" spans="1:12">
      <c r="A243" t="s">
        <v>206</v>
      </c>
      <c r="B243" s="2">
        <v>45935</v>
      </c>
      <c r="C243" t="s">
        <v>1027</v>
      </c>
      <c r="D243" t="s">
        <v>1011</v>
      </c>
      <c r="E243" t="s">
        <v>1044</v>
      </c>
      <c r="F243" t="s">
        <v>1062</v>
      </c>
      <c r="G243">
        <v>2</v>
      </c>
      <c r="H243" s="4">
        <v>8000</v>
      </c>
      <c r="I243" s="4">
        <v>5000</v>
      </c>
      <c r="J243" s="4">
        <v>16000</v>
      </c>
      <c r="K243" t="s">
        <v>1059</v>
      </c>
      <c r="L243" s="5"/>
    </row>
    <row r="244" spans="1:12">
      <c r="A244" t="s">
        <v>686</v>
      </c>
      <c r="B244" s="2">
        <v>45935</v>
      </c>
      <c r="C244" t="s">
        <v>1026</v>
      </c>
      <c r="D244" t="s">
        <v>1013</v>
      </c>
      <c r="E244" t="s">
        <v>1044</v>
      </c>
      <c r="F244" t="s">
        <v>1014</v>
      </c>
      <c r="G244">
        <v>2</v>
      </c>
      <c r="H244" s="4">
        <v>2500</v>
      </c>
      <c r="I244" s="4">
        <v>1000</v>
      </c>
      <c r="J244" s="4">
        <v>5000</v>
      </c>
      <c r="K244" t="s">
        <v>1058</v>
      </c>
      <c r="L244" s="5"/>
    </row>
    <row r="245" spans="1:12">
      <c r="A245" t="s">
        <v>901</v>
      </c>
      <c r="B245" s="2">
        <v>45933</v>
      </c>
      <c r="C245" t="s">
        <v>1027</v>
      </c>
      <c r="D245" t="s">
        <v>1012</v>
      </c>
      <c r="E245" t="s">
        <v>1044</v>
      </c>
      <c r="F245" t="s">
        <v>1063</v>
      </c>
      <c r="G245">
        <v>1</v>
      </c>
      <c r="H245" s="4">
        <v>7000</v>
      </c>
      <c r="I245" s="4">
        <v>2000</v>
      </c>
      <c r="J245" s="4">
        <v>7000</v>
      </c>
      <c r="K245" t="s">
        <v>1060</v>
      </c>
      <c r="L245" s="5"/>
    </row>
    <row r="246" spans="1:12">
      <c r="A246" t="s">
        <v>565</v>
      </c>
      <c r="B246" s="2">
        <v>45932</v>
      </c>
      <c r="C246" t="s">
        <v>1027</v>
      </c>
      <c r="D246" t="s">
        <v>1012</v>
      </c>
      <c r="E246" t="s">
        <v>1043</v>
      </c>
      <c r="F246" t="s">
        <v>1021</v>
      </c>
      <c r="G246">
        <v>1</v>
      </c>
      <c r="H246" s="4">
        <v>6000</v>
      </c>
      <c r="I246" s="4">
        <v>1800</v>
      </c>
      <c r="J246" s="4">
        <v>6000</v>
      </c>
      <c r="K246" t="s">
        <v>1058</v>
      </c>
      <c r="L246" s="5"/>
    </row>
    <row r="247" spans="1:12">
      <c r="A247" t="s">
        <v>22</v>
      </c>
      <c r="B247" s="2">
        <v>45931</v>
      </c>
      <c r="C247" t="s">
        <v>1025</v>
      </c>
      <c r="D247" t="s">
        <v>1013</v>
      </c>
      <c r="E247" t="s">
        <v>1043</v>
      </c>
      <c r="F247" t="s">
        <v>1021</v>
      </c>
      <c r="G247">
        <v>1</v>
      </c>
      <c r="H247" s="4">
        <v>6000</v>
      </c>
      <c r="I247" s="4">
        <v>1800</v>
      </c>
      <c r="J247" s="4">
        <v>6000</v>
      </c>
      <c r="K247" t="s">
        <v>1059</v>
      </c>
      <c r="L247" s="5"/>
    </row>
    <row r="248" spans="1:12">
      <c r="A248" t="s">
        <v>489</v>
      </c>
      <c r="B248" s="2">
        <v>45931</v>
      </c>
      <c r="C248" t="s">
        <v>1025</v>
      </c>
      <c r="D248" t="s">
        <v>1012</v>
      </c>
      <c r="E248" t="s">
        <v>1044</v>
      </c>
      <c r="F248" t="s">
        <v>1020</v>
      </c>
      <c r="G248">
        <v>2</v>
      </c>
      <c r="H248" s="4">
        <v>7500</v>
      </c>
      <c r="I248" s="4">
        <v>4400</v>
      </c>
      <c r="J248" s="4">
        <v>15000</v>
      </c>
      <c r="K248" t="s">
        <v>1058</v>
      </c>
      <c r="L248" s="5"/>
    </row>
    <row r="249" spans="1:12">
      <c r="A249" t="s">
        <v>546</v>
      </c>
      <c r="B249" s="2">
        <v>45931</v>
      </c>
      <c r="C249" t="s">
        <v>1025</v>
      </c>
      <c r="D249" t="s">
        <v>1011</v>
      </c>
      <c r="E249" t="s">
        <v>1043</v>
      </c>
      <c r="F249" t="s">
        <v>1021</v>
      </c>
      <c r="G249">
        <v>2</v>
      </c>
      <c r="H249" s="4">
        <v>6000</v>
      </c>
      <c r="I249" s="4">
        <v>3600</v>
      </c>
      <c r="J249" s="4">
        <v>12000</v>
      </c>
      <c r="K249" t="s">
        <v>1058</v>
      </c>
      <c r="L249" s="5"/>
    </row>
    <row r="250" spans="1:12">
      <c r="A250" t="s">
        <v>596</v>
      </c>
      <c r="B250" s="2">
        <v>45931</v>
      </c>
      <c r="C250" t="s">
        <v>1026</v>
      </c>
      <c r="D250" t="s">
        <v>1013</v>
      </c>
      <c r="E250" t="s">
        <v>1044</v>
      </c>
      <c r="F250" t="s">
        <v>1062</v>
      </c>
      <c r="G250">
        <v>1</v>
      </c>
      <c r="H250" s="4">
        <v>8000</v>
      </c>
      <c r="I250" s="4">
        <v>2500</v>
      </c>
      <c r="J250" s="4">
        <v>8000</v>
      </c>
      <c r="K250" t="s">
        <v>1058</v>
      </c>
      <c r="L250" s="5"/>
    </row>
    <row r="251" spans="1:12">
      <c r="A251" t="s">
        <v>682</v>
      </c>
      <c r="B251" s="2">
        <v>45931</v>
      </c>
      <c r="C251" t="s">
        <v>1025</v>
      </c>
      <c r="D251" t="s">
        <v>1013</v>
      </c>
      <c r="E251" t="s">
        <v>1044</v>
      </c>
      <c r="F251" t="s">
        <v>1014</v>
      </c>
      <c r="G251">
        <v>1</v>
      </c>
      <c r="H251" s="4">
        <v>2500</v>
      </c>
      <c r="I251" s="4">
        <v>500</v>
      </c>
      <c r="J251" s="4">
        <v>2500</v>
      </c>
      <c r="K251" t="s">
        <v>1059</v>
      </c>
      <c r="L251" s="5"/>
    </row>
    <row r="252" spans="1:12">
      <c r="A252" t="s">
        <v>778</v>
      </c>
      <c r="B252" s="2">
        <v>45931</v>
      </c>
      <c r="C252" t="s">
        <v>1027</v>
      </c>
      <c r="D252" t="s">
        <v>1011</v>
      </c>
      <c r="E252" t="s">
        <v>1041</v>
      </c>
      <c r="F252" t="s">
        <v>1061</v>
      </c>
      <c r="G252">
        <v>1</v>
      </c>
      <c r="H252" s="4">
        <v>5000</v>
      </c>
      <c r="I252" s="4">
        <v>1500</v>
      </c>
      <c r="J252" s="4">
        <v>5000</v>
      </c>
      <c r="K252" t="s">
        <v>1058</v>
      </c>
      <c r="L252" s="5"/>
    </row>
    <row r="253" spans="1:12">
      <c r="A253" t="s">
        <v>878</v>
      </c>
      <c r="B253" s="2">
        <v>45931</v>
      </c>
      <c r="C253" t="s">
        <v>1027</v>
      </c>
      <c r="D253" t="s">
        <v>1011</v>
      </c>
      <c r="E253" t="s">
        <v>1042</v>
      </c>
      <c r="F253" t="s">
        <v>1015</v>
      </c>
      <c r="G253">
        <v>1</v>
      </c>
      <c r="H253" s="4">
        <v>4000</v>
      </c>
      <c r="I253" s="4">
        <v>1000</v>
      </c>
      <c r="J253" s="4">
        <v>4000</v>
      </c>
      <c r="K253" t="s">
        <v>1060</v>
      </c>
      <c r="L253" s="5"/>
    </row>
    <row r="254" spans="1:12">
      <c r="A254" t="s">
        <v>282</v>
      </c>
      <c r="B254" s="2">
        <v>45930</v>
      </c>
      <c r="C254" t="s">
        <v>1025</v>
      </c>
      <c r="D254" t="s">
        <v>1013</v>
      </c>
      <c r="E254" t="s">
        <v>1041</v>
      </c>
      <c r="F254" t="s">
        <v>1016</v>
      </c>
      <c r="G254">
        <v>2</v>
      </c>
      <c r="H254" s="4">
        <v>3000</v>
      </c>
      <c r="I254" s="4">
        <v>1600</v>
      </c>
      <c r="J254" s="4">
        <v>6000</v>
      </c>
      <c r="K254" t="s">
        <v>1060</v>
      </c>
      <c r="L254" s="5"/>
    </row>
    <row r="255" spans="1:12">
      <c r="A255" t="s">
        <v>465</v>
      </c>
      <c r="B255" s="2">
        <v>45930</v>
      </c>
      <c r="C255" t="s">
        <v>1026</v>
      </c>
      <c r="D255" t="s">
        <v>1013</v>
      </c>
      <c r="E255" t="s">
        <v>1043</v>
      </c>
      <c r="F255" t="s">
        <v>1018</v>
      </c>
      <c r="G255">
        <v>2</v>
      </c>
      <c r="H255" s="4">
        <v>2500</v>
      </c>
      <c r="I255" s="4">
        <v>1200</v>
      </c>
      <c r="J255" s="4">
        <v>5000</v>
      </c>
      <c r="K255" t="s">
        <v>1059</v>
      </c>
      <c r="L255" s="5"/>
    </row>
    <row r="256" spans="1:12">
      <c r="A256" t="s">
        <v>932</v>
      </c>
      <c r="B256" s="2">
        <v>45930</v>
      </c>
      <c r="C256" t="s">
        <v>1025</v>
      </c>
      <c r="D256" t="s">
        <v>1013</v>
      </c>
      <c r="E256" t="s">
        <v>1043</v>
      </c>
      <c r="F256" t="s">
        <v>1021</v>
      </c>
      <c r="G256">
        <v>1</v>
      </c>
      <c r="H256" s="4">
        <v>6000</v>
      </c>
      <c r="I256" s="4">
        <v>1800</v>
      </c>
      <c r="J256" s="4">
        <v>6000</v>
      </c>
      <c r="K256" t="s">
        <v>1059</v>
      </c>
      <c r="L256" s="5"/>
    </row>
    <row r="257" spans="1:12">
      <c r="A257" t="s">
        <v>290</v>
      </c>
      <c r="B257" s="2">
        <v>45929</v>
      </c>
      <c r="C257" t="s">
        <v>1025</v>
      </c>
      <c r="D257" t="s">
        <v>1013</v>
      </c>
      <c r="E257" t="s">
        <v>1043</v>
      </c>
      <c r="F257" t="s">
        <v>1018</v>
      </c>
      <c r="G257">
        <v>1</v>
      </c>
      <c r="H257" s="4">
        <v>2500</v>
      </c>
      <c r="I257" s="4">
        <v>600</v>
      </c>
      <c r="J257" s="4">
        <v>2500</v>
      </c>
      <c r="K257" t="s">
        <v>1058</v>
      </c>
      <c r="L257" s="5"/>
    </row>
    <row r="258" spans="1:12">
      <c r="A258" t="s">
        <v>771</v>
      </c>
      <c r="B258" s="2">
        <v>45929</v>
      </c>
      <c r="C258" t="s">
        <v>1026</v>
      </c>
      <c r="D258" t="s">
        <v>1012</v>
      </c>
      <c r="E258" t="s">
        <v>1042</v>
      </c>
      <c r="F258" t="s">
        <v>1015</v>
      </c>
      <c r="G258">
        <v>2</v>
      </c>
      <c r="H258" s="4">
        <v>4000</v>
      </c>
      <c r="I258" s="4">
        <v>2000</v>
      </c>
      <c r="J258" s="4">
        <v>8000</v>
      </c>
      <c r="K258" t="s">
        <v>1059</v>
      </c>
      <c r="L258" s="5"/>
    </row>
    <row r="259" spans="1:12">
      <c r="A259" t="s">
        <v>779</v>
      </c>
      <c r="B259" s="2">
        <v>45929</v>
      </c>
      <c r="C259" t="s">
        <v>1027</v>
      </c>
      <c r="D259" t="s">
        <v>1013</v>
      </c>
      <c r="E259" t="s">
        <v>1041</v>
      </c>
      <c r="F259" t="s">
        <v>1061</v>
      </c>
      <c r="G259">
        <v>1</v>
      </c>
      <c r="H259" s="4">
        <v>5000</v>
      </c>
      <c r="I259" s="4">
        <v>1500</v>
      </c>
      <c r="J259" s="4">
        <v>5000</v>
      </c>
      <c r="K259" t="s">
        <v>1060</v>
      </c>
      <c r="L259" s="5"/>
    </row>
    <row r="260" spans="1:12">
      <c r="A260" t="s">
        <v>32</v>
      </c>
      <c r="B260" s="2">
        <v>45928</v>
      </c>
      <c r="C260" t="s">
        <v>1026</v>
      </c>
      <c r="D260" t="s">
        <v>1011</v>
      </c>
      <c r="E260" t="s">
        <v>1043</v>
      </c>
      <c r="F260" t="s">
        <v>1021</v>
      </c>
      <c r="G260">
        <v>2</v>
      </c>
      <c r="H260" s="4">
        <v>6000</v>
      </c>
      <c r="I260" s="4">
        <v>3600</v>
      </c>
      <c r="J260" s="4">
        <v>12000</v>
      </c>
      <c r="K260" t="s">
        <v>1059</v>
      </c>
      <c r="L260" s="5"/>
    </row>
    <row r="261" spans="1:12">
      <c r="A261" t="s">
        <v>451</v>
      </c>
      <c r="B261" s="2">
        <v>45928</v>
      </c>
      <c r="C261" t="s">
        <v>1025</v>
      </c>
      <c r="D261" t="s">
        <v>1012</v>
      </c>
      <c r="E261" t="s">
        <v>1043</v>
      </c>
      <c r="F261" t="s">
        <v>1018</v>
      </c>
      <c r="G261">
        <v>2</v>
      </c>
      <c r="H261" s="4">
        <v>2500</v>
      </c>
      <c r="I261" s="4">
        <v>1200</v>
      </c>
      <c r="J261" s="4">
        <v>5000</v>
      </c>
      <c r="K261" t="s">
        <v>1059</v>
      </c>
      <c r="L261" s="5"/>
    </row>
    <row r="262" spans="1:12">
      <c r="A262" t="s">
        <v>463</v>
      </c>
      <c r="B262" s="2">
        <v>45928</v>
      </c>
      <c r="C262" t="s">
        <v>1027</v>
      </c>
      <c r="D262" t="s">
        <v>1011</v>
      </c>
      <c r="E262" t="s">
        <v>1043</v>
      </c>
      <c r="F262" t="s">
        <v>1018</v>
      </c>
      <c r="G262">
        <v>2</v>
      </c>
      <c r="H262" s="4">
        <v>2500</v>
      </c>
      <c r="I262" s="4">
        <v>1200</v>
      </c>
      <c r="J262" s="4">
        <v>5000</v>
      </c>
      <c r="K262" t="s">
        <v>1059</v>
      </c>
      <c r="L262" s="5"/>
    </row>
    <row r="263" spans="1:12">
      <c r="A263" t="s">
        <v>512</v>
      </c>
      <c r="B263" s="2">
        <v>45928</v>
      </c>
      <c r="C263" t="s">
        <v>1027</v>
      </c>
      <c r="D263" t="s">
        <v>1013</v>
      </c>
      <c r="E263" t="s">
        <v>1043</v>
      </c>
      <c r="F263" t="s">
        <v>1021</v>
      </c>
      <c r="G263">
        <v>1</v>
      </c>
      <c r="H263" s="4">
        <v>6000</v>
      </c>
      <c r="I263" s="4">
        <v>1800</v>
      </c>
      <c r="J263" s="4">
        <v>6000</v>
      </c>
      <c r="K263" t="s">
        <v>1059</v>
      </c>
      <c r="L263" s="5"/>
    </row>
    <row r="264" spans="1:12">
      <c r="A264" t="s">
        <v>620</v>
      </c>
      <c r="B264" s="2">
        <v>45928</v>
      </c>
      <c r="C264" t="s">
        <v>1027</v>
      </c>
      <c r="D264" t="s">
        <v>1012</v>
      </c>
      <c r="E264" t="s">
        <v>1043</v>
      </c>
      <c r="F264" t="s">
        <v>1023</v>
      </c>
      <c r="G264">
        <v>1</v>
      </c>
      <c r="H264" s="4">
        <v>3000</v>
      </c>
      <c r="I264" s="4">
        <v>700</v>
      </c>
      <c r="J264" s="4">
        <v>3000</v>
      </c>
      <c r="K264" t="s">
        <v>1058</v>
      </c>
      <c r="L264" s="5"/>
    </row>
    <row r="265" spans="1:12">
      <c r="A265" t="s">
        <v>249</v>
      </c>
      <c r="B265" s="2">
        <v>45927</v>
      </c>
      <c r="C265" t="s">
        <v>1027</v>
      </c>
      <c r="D265" t="s">
        <v>1011</v>
      </c>
      <c r="E265" t="s">
        <v>1041</v>
      </c>
      <c r="F265" t="s">
        <v>1016</v>
      </c>
      <c r="G265">
        <v>2</v>
      </c>
      <c r="H265" s="4">
        <v>3000</v>
      </c>
      <c r="I265" s="4">
        <v>1600</v>
      </c>
      <c r="J265" s="4">
        <v>6000</v>
      </c>
      <c r="K265" t="s">
        <v>1059</v>
      </c>
      <c r="L265" s="5"/>
    </row>
    <row r="266" spans="1:12">
      <c r="A266" t="s">
        <v>278</v>
      </c>
      <c r="B266" s="2">
        <v>45927</v>
      </c>
      <c r="C266" t="s">
        <v>1025</v>
      </c>
      <c r="D266" t="s">
        <v>1012</v>
      </c>
      <c r="E266" t="s">
        <v>1042</v>
      </c>
      <c r="F266" t="s">
        <v>1015</v>
      </c>
      <c r="G266">
        <v>2</v>
      </c>
      <c r="H266" s="4">
        <v>4000</v>
      </c>
      <c r="I266" s="4">
        <v>2000</v>
      </c>
      <c r="J266" s="4">
        <v>8000</v>
      </c>
      <c r="K266" t="s">
        <v>1059</v>
      </c>
      <c r="L266" s="5"/>
    </row>
    <row r="267" spans="1:12">
      <c r="A267" t="s">
        <v>691</v>
      </c>
      <c r="B267" s="2">
        <v>45927</v>
      </c>
      <c r="C267" t="s">
        <v>1026</v>
      </c>
      <c r="D267" t="s">
        <v>1013</v>
      </c>
      <c r="E267" t="s">
        <v>1042</v>
      </c>
      <c r="F267" t="s">
        <v>1019</v>
      </c>
      <c r="G267">
        <v>1</v>
      </c>
      <c r="H267" s="4">
        <v>3000</v>
      </c>
      <c r="I267" s="4">
        <v>800</v>
      </c>
      <c r="J267" s="4">
        <v>3000</v>
      </c>
      <c r="K267" t="s">
        <v>1058</v>
      </c>
      <c r="L267" s="5"/>
    </row>
    <row r="268" spans="1:12">
      <c r="A268" t="s">
        <v>861</v>
      </c>
      <c r="B268" s="2">
        <v>45927</v>
      </c>
      <c r="C268" t="s">
        <v>1027</v>
      </c>
      <c r="D268" t="s">
        <v>1013</v>
      </c>
      <c r="E268" t="s">
        <v>1041</v>
      </c>
      <c r="F268" t="s">
        <v>1017</v>
      </c>
      <c r="G268">
        <v>1</v>
      </c>
      <c r="H268" s="4">
        <v>2500</v>
      </c>
      <c r="I268" s="4">
        <v>700</v>
      </c>
      <c r="J268" s="4">
        <v>2500</v>
      </c>
      <c r="K268" t="s">
        <v>1060</v>
      </c>
      <c r="L268" s="5"/>
    </row>
    <row r="269" spans="1:12">
      <c r="A269" t="s">
        <v>288</v>
      </c>
      <c r="B269" s="2">
        <v>45926</v>
      </c>
      <c r="C269" t="s">
        <v>1027</v>
      </c>
      <c r="D269" t="s">
        <v>1012</v>
      </c>
      <c r="E269" t="s">
        <v>1044</v>
      </c>
      <c r="F269" t="s">
        <v>1020</v>
      </c>
      <c r="G269">
        <v>2</v>
      </c>
      <c r="H269" s="4">
        <v>7500</v>
      </c>
      <c r="I269" s="4">
        <v>4400</v>
      </c>
      <c r="J269" s="4">
        <v>15000</v>
      </c>
      <c r="K269" t="s">
        <v>1058</v>
      </c>
      <c r="L269" s="5"/>
    </row>
    <row r="270" spans="1:12">
      <c r="A270" t="s">
        <v>337</v>
      </c>
      <c r="B270" s="2">
        <v>45926</v>
      </c>
      <c r="C270" t="s">
        <v>1026</v>
      </c>
      <c r="D270" t="s">
        <v>1013</v>
      </c>
      <c r="E270" t="s">
        <v>1042</v>
      </c>
      <c r="F270" t="s">
        <v>1015</v>
      </c>
      <c r="G270">
        <v>1</v>
      </c>
      <c r="H270" s="4">
        <v>4000</v>
      </c>
      <c r="I270" s="4">
        <v>1000</v>
      </c>
      <c r="J270" s="4">
        <v>4000</v>
      </c>
      <c r="K270" t="s">
        <v>1060</v>
      </c>
      <c r="L270" s="5"/>
    </row>
    <row r="271" spans="1:12">
      <c r="A271" t="s">
        <v>742</v>
      </c>
      <c r="B271" s="2">
        <v>45926</v>
      </c>
      <c r="C271" t="s">
        <v>1025</v>
      </c>
      <c r="D271" t="s">
        <v>1013</v>
      </c>
      <c r="E271" t="s">
        <v>1044</v>
      </c>
      <c r="F271" t="s">
        <v>1020</v>
      </c>
      <c r="G271">
        <v>1</v>
      </c>
      <c r="H271" s="4">
        <v>7500</v>
      </c>
      <c r="I271" s="4">
        <v>2200</v>
      </c>
      <c r="J271" s="4">
        <v>7500</v>
      </c>
      <c r="K271" t="s">
        <v>1059</v>
      </c>
      <c r="L271" s="5"/>
    </row>
    <row r="272" spans="1:12">
      <c r="A272" t="s">
        <v>163</v>
      </c>
      <c r="B272" s="2">
        <v>45925</v>
      </c>
      <c r="C272" t="s">
        <v>1026</v>
      </c>
      <c r="D272" t="s">
        <v>1012</v>
      </c>
      <c r="E272" t="s">
        <v>1042</v>
      </c>
      <c r="F272" t="s">
        <v>1019</v>
      </c>
      <c r="G272">
        <v>1</v>
      </c>
      <c r="H272" s="4">
        <v>3000</v>
      </c>
      <c r="I272" s="4">
        <v>800</v>
      </c>
      <c r="J272" s="4">
        <v>3000</v>
      </c>
      <c r="K272" t="s">
        <v>1058</v>
      </c>
      <c r="L272" s="5"/>
    </row>
    <row r="273" spans="1:12">
      <c r="A273" t="s">
        <v>796</v>
      </c>
      <c r="B273" s="2">
        <v>45925</v>
      </c>
      <c r="C273" t="s">
        <v>1027</v>
      </c>
      <c r="D273" t="s">
        <v>1012</v>
      </c>
      <c r="E273" t="s">
        <v>1044</v>
      </c>
      <c r="F273" t="s">
        <v>1014</v>
      </c>
      <c r="G273">
        <v>1</v>
      </c>
      <c r="H273" s="4">
        <v>2500</v>
      </c>
      <c r="I273" s="4">
        <v>500</v>
      </c>
      <c r="J273" s="4">
        <v>2500</v>
      </c>
      <c r="K273" t="s">
        <v>1060</v>
      </c>
      <c r="L273" s="5"/>
    </row>
    <row r="274" spans="1:12">
      <c r="A274" t="s">
        <v>845</v>
      </c>
      <c r="B274" s="2">
        <v>45925</v>
      </c>
      <c r="C274" t="s">
        <v>1027</v>
      </c>
      <c r="D274" t="s">
        <v>1013</v>
      </c>
      <c r="E274" t="s">
        <v>1044</v>
      </c>
      <c r="F274" t="s">
        <v>1020</v>
      </c>
      <c r="G274">
        <v>1</v>
      </c>
      <c r="H274" s="4">
        <v>7500</v>
      </c>
      <c r="I274" s="4">
        <v>2200</v>
      </c>
      <c r="J274" s="4">
        <v>7500</v>
      </c>
      <c r="K274" t="s">
        <v>1058</v>
      </c>
      <c r="L274" s="5"/>
    </row>
    <row r="275" spans="1:12">
      <c r="A275" t="s">
        <v>934</v>
      </c>
      <c r="B275" s="2">
        <v>45925</v>
      </c>
      <c r="C275" t="s">
        <v>1026</v>
      </c>
      <c r="D275" t="s">
        <v>1012</v>
      </c>
      <c r="E275" t="s">
        <v>1042</v>
      </c>
      <c r="F275" t="s">
        <v>1015</v>
      </c>
      <c r="G275">
        <v>2</v>
      </c>
      <c r="H275" s="4">
        <v>4000</v>
      </c>
      <c r="I275" s="4">
        <v>2000</v>
      </c>
      <c r="J275" s="4">
        <v>8000</v>
      </c>
      <c r="K275" t="s">
        <v>1059</v>
      </c>
      <c r="L275" s="5"/>
    </row>
    <row r="276" spans="1:12">
      <c r="A276" t="s">
        <v>606</v>
      </c>
      <c r="B276" s="2">
        <v>45923</v>
      </c>
      <c r="C276" t="s">
        <v>1025</v>
      </c>
      <c r="D276" t="s">
        <v>1012</v>
      </c>
      <c r="E276" t="s">
        <v>1041</v>
      </c>
      <c r="F276" t="s">
        <v>1016</v>
      </c>
      <c r="G276">
        <v>1</v>
      </c>
      <c r="H276" s="4">
        <v>3000</v>
      </c>
      <c r="I276" s="4">
        <v>800</v>
      </c>
      <c r="J276" s="4">
        <v>3000</v>
      </c>
      <c r="K276" t="s">
        <v>1059</v>
      </c>
      <c r="L276" s="5"/>
    </row>
    <row r="277" spans="1:12">
      <c r="A277" t="s">
        <v>959</v>
      </c>
      <c r="B277" s="2">
        <v>45923</v>
      </c>
      <c r="C277" t="s">
        <v>1027</v>
      </c>
      <c r="D277" t="s">
        <v>1011</v>
      </c>
      <c r="E277" t="s">
        <v>1043</v>
      </c>
      <c r="F277" t="s">
        <v>1021</v>
      </c>
      <c r="G277">
        <v>1</v>
      </c>
      <c r="H277" s="4">
        <v>6000</v>
      </c>
      <c r="I277" s="4">
        <v>1800</v>
      </c>
      <c r="J277" s="4">
        <v>6000</v>
      </c>
      <c r="K277" t="s">
        <v>1060</v>
      </c>
      <c r="L277" s="5"/>
    </row>
    <row r="278" spans="1:12">
      <c r="A278" t="s">
        <v>740</v>
      </c>
      <c r="B278" s="2">
        <v>45922</v>
      </c>
      <c r="C278" t="s">
        <v>1026</v>
      </c>
      <c r="D278" t="s">
        <v>1013</v>
      </c>
      <c r="E278" t="s">
        <v>1042</v>
      </c>
      <c r="F278" t="s">
        <v>1022</v>
      </c>
      <c r="G278">
        <v>2</v>
      </c>
      <c r="H278" s="4">
        <v>5000</v>
      </c>
      <c r="I278" s="4">
        <v>3000</v>
      </c>
      <c r="J278" s="4">
        <v>10000</v>
      </c>
      <c r="K278" t="s">
        <v>1060</v>
      </c>
      <c r="L278" s="5"/>
    </row>
    <row r="279" spans="1:12">
      <c r="A279" t="s">
        <v>868</v>
      </c>
      <c r="B279" s="2">
        <v>45922</v>
      </c>
      <c r="C279" t="s">
        <v>1026</v>
      </c>
      <c r="D279" t="s">
        <v>1011</v>
      </c>
      <c r="E279" t="s">
        <v>1044</v>
      </c>
      <c r="F279" t="s">
        <v>1063</v>
      </c>
      <c r="G279">
        <v>1</v>
      </c>
      <c r="H279" s="4">
        <v>7000</v>
      </c>
      <c r="I279" s="4">
        <v>2000</v>
      </c>
      <c r="J279" s="4">
        <v>7000</v>
      </c>
      <c r="K279" t="s">
        <v>1060</v>
      </c>
      <c r="L279" s="5"/>
    </row>
    <row r="280" spans="1:12">
      <c r="A280" t="s">
        <v>924</v>
      </c>
      <c r="B280" s="2">
        <v>45922</v>
      </c>
      <c r="C280" t="s">
        <v>1026</v>
      </c>
      <c r="D280" t="s">
        <v>1011</v>
      </c>
      <c r="E280" t="s">
        <v>1044</v>
      </c>
      <c r="F280" t="s">
        <v>1063</v>
      </c>
      <c r="G280">
        <v>1</v>
      </c>
      <c r="H280" s="4">
        <v>7000</v>
      </c>
      <c r="I280" s="4">
        <v>2000</v>
      </c>
      <c r="J280" s="4">
        <v>7000</v>
      </c>
      <c r="K280" t="s">
        <v>1060</v>
      </c>
      <c r="L280" s="5"/>
    </row>
    <row r="281" spans="1:12">
      <c r="A281" t="s">
        <v>969</v>
      </c>
      <c r="B281" s="2">
        <v>45922</v>
      </c>
      <c r="C281" t="s">
        <v>1025</v>
      </c>
      <c r="D281" t="s">
        <v>1013</v>
      </c>
      <c r="E281" t="s">
        <v>1044</v>
      </c>
      <c r="F281" t="s">
        <v>1020</v>
      </c>
      <c r="G281">
        <v>1</v>
      </c>
      <c r="H281" s="4">
        <v>7500</v>
      </c>
      <c r="I281" s="4">
        <v>2200</v>
      </c>
      <c r="J281" s="4">
        <v>7500</v>
      </c>
      <c r="K281" t="s">
        <v>1060</v>
      </c>
      <c r="L281" s="5"/>
    </row>
    <row r="282" spans="1:12">
      <c r="A282" t="s">
        <v>184</v>
      </c>
      <c r="B282" s="2">
        <v>45921</v>
      </c>
      <c r="C282" t="s">
        <v>1027</v>
      </c>
      <c r="D282" t="s">
        <v>1011</v>
      </c>
      <c r="E282" t="s">
        <v>1042</v>
      </c>
      <c r="F282" t="s">
        <v>1019</v>
      </c>
      <c r="G282">
        <v>2</v>
      </c>
      <c r="H282" s="4">
        <v>3000</v>
      </c>
      <c r="I282" s="4">
        <v>1600</v>
      </c>
      <c r="J282" s="4">
        <v>6000</v>
      </c>
      <c r="K282" t="s">
        <v>1060</v>
      </c>
      <c r="L282" s="5"/>
    </row>
    <row r="283" spans="1:12">
      <c r="A283" t="s">
        <v>907</v>
      </c>
      <c r="B283" s="2">
        <v>45921</v>
      </c>
      <c r="C283" t="s">
        <v>1027</v>
      </c>
      <c r="D283" t="s">
        <v>1012</v>
      </c>
      <c r="E283" t="s">
        <v>1044</v>
      </c>
      <c r="F283" t="s">
        <v>1014</v>
      </c>
      <c r="G283">
        <v>1</v>
      </c>
      <c r="H283" s="4">
        <v>2500</v>
      </c>
      <c r="I283" s="4">
        <v>500</v>
      </c>
      <c r="J283" s="4">
        <v>2500</v>
      </c>
      <c r="K283" t="s">
        <v>1059</v>
      </c>
      <c r="L283" s="5"/>
    </row>
    <row r="284" spans="1:12">
      <c r="A284" t="s">
        <v>490</v>
      </c>
      <c r="B284" s="2">
        <v>45920</v>
      </c>
      <c r="C284" t="s">
        <v>1026</v>
      </c>
      <c r="D284" t="s">
        <v>1012</v>
      </c>
      <c r="E284" t="s">
        <v>1044</v>
      </c>
      <c r="F284" t="s">
        <v>1063</v>
      </c>
      <c r="G284">
        <v>1</v>
      </c>
      <c r="H284" s="4">
        <v>7000</v>
      </c>
      <c r="I284" s="4">
        <v>2000</v>
      </c>
      <c r="J284" s="4">
        <v>7000</v>
      </c>
      <c r="K284" t="s">
        <v>1059</v>
      </c>
      <c r="L284" s="5"/>
    </row>
    <row r="285" spans="1:12">
      <c r="A285" t="s">
        <v>794</v>
      </c>
      <c r="B285" s="2">
        <v>45919</v>
      </c>
      <c r="C285" t="s">
        <v>1025</v>
      </c>
      <c r="D285" t="s">
        <v>1011</v>
      </c>
      <c r="E285" t="s">
        <v>1044</v>
      </c>
      <c r="F285" t="s">
        <v>1020</v>
      </c>
      <c r="G285">
        <v>1</v>
      </c>
      <c r="H285" s="4">
        <v>7500</v>
      </c>
      <c r="I285" s="4">
        <v>2200</v>
      </c>
      <c r="J285" s="4">
        <v>7500</v>
      </c>
      <c r="K285" t="s">
        <v>1059</v>
      </c>
      <c r="L285" s="5"/>
    </row>
    <row r="286" spans="1:12">
      <c r="A286" t="s">
        <v>800</v>
      </c>
      <c r="B286" s="2">
        <v>45919</v>
      </c>
      <c r="C286" t="s">
        <v>1027</v>
      </c>
      <c r="D286" t="s">
        <v>1011</v>
      </c>
      <c r="E286" t="s">
        <v>1041</v>
      </c>
      <c r="F286" t="s">
        <v>1016</v>
      </c>
      <c r="G286">
        <v>1</v>
      </c>
      <c r="H286" s="4">
        <v>3000</v>
      </c>
      <c r="I286" s="4">
        <v>800</v>
      </c>
      <c r="J286" s="4">
        <v>3000</v>
      </c>
      <c r="K286" t="s">
        <v>1060</v>
      </c>
      <c r="L286" s="5"/>
    </row>
    <row r="287" spans="1:12">
      <c r="A287" t="s">
        <v>824</v>
      </c>
      <c r="B287" s="2">
        <v>45918</v>
      </c>
      <c r="C287" t="s">
        <v>1025</v>
      </c>
      <c r="D287" t="s">
        <v>1013</v>
      </c>
      <c r="E287" t="s">
        <v>1042</v>
      </c>
      <c r="F287" t="s">
        <v>1019</v>
      </c>
      <c r="G287">
        <v>1</v>
      </c>
      <c r="H287" s="4">
        <v>3000</v>
      </c>
      <c r="I287" s="4">
        <v>800</v>
      </c>
      <c r="J287" s="4">
        <v>3000</v>
      </c>
      <c r="K287" t="s">
        <v>1060</v>
      </c>
      <c r="L287" s="5"/>
    </row>
    <row r="288" spans="1:12">
      <c r="A288" t="s">
        <v>624</v>
      </c>
      <c r="B288" s="2">
        <v>45917</v>
      </c>
      <c r="C288" t="s">
        <v>1026</v>
      </c>
      <c r="D288" t="s">
        <v>1011</v>
      </c>
      <c r="E288" t="s">
        <v>1042</v>
      </c>
      <c r="F288" t="s">
        <v>1019</v>
      </c>
      <c r="G288">
        <v>2</v>
      </c>
      <c r="H288" s="4">
        <v>3000</v>
      </c>
      <c r="I288" s="4">
        <v>1600</v>
      </c>
      <c r="J288" s="4">
        <v>6000</v>
      </c>
      <c r="K288" t="s">
        <v>1060</v>
      </c>
      <c r="L288" s="5"/>
    </row>
    <row r="289" spans="1:12">
      <c r="A289" t="s">
        <v>963</v>
      </c>
      <c r="B289" s="2">
        <v>45917</v>
      </c>
      <c r="C289" t="s">
        <v>1027</v>
      </c>
      <c r="D289" t="s">
        <v>1011</v>
      </c>
      <c r="E289" t="s">
        <v>1041</v>
      </c>
      <c r="F289" t="s">
        <v>1016</v>
      </c>
      <c r="G289">
        <v>2</v>
      </c>
      <c r="H289" s="4">
        <v>3000</v>
      </c>
      <c r="I289" s="4">
        <v>1600</v>
      </c>
      <c r="J289" s="4">
        <v>6000</v>
      </c>
      <c r="K289" t="s">
        <v>1059</v>
      </c>
      <c r="L289" s="5"/>
    </row>
    <row r="290" spans="1:12">
      <c r="A290" t="s">
        <v>837</v>
      </c>
      <c r="B290" s="2">
        <v>45916</v>
      </c>
      <c r="C290" t="s">
        <v>1026</v>
      </c>
      <c r="D290" t="s">
        <v>1012</v>
      </c>
      <c r="E290" t="s">
        <v>1043</v>
      </c>
      <c r="F290" t="s">
        <v>1021</v>
      </c>
      <c r="G290">
        <v>1</v>
      </c>
      <c r="H290" s="4">
        <v>6000</v>
      </c>
      <c r="I290" s="4">
        <v>1800</v>
      </c>
      <c r="J290" s="4">
        <v>6000</v>
      </c>
      <c r="K290" t="s">
        <v>1060</v>
      </c>
      <c r="L290" s="5"/>
    </row>
    <row r="291" spans="1:12">
      <c r="A291" t="s">
        <v>980</v>
      </c>
      <c r="B291" s="2">
        <v>45915</v>
      </c>
      <c r="C291" t="s">
        <v>1026</v>
      </c>
      <c r="D291" t="s">
        <v>1012</v>
      </c>
      <c r="E291" t="s">
        <v>1043</v>
      </c>
      <c r="F291" t="s">
        <v>1018</v>
      </c>
      <c r="G291">
        <v>1</v>
      </c>
      <c r="H291" s="4">
        <v>2500</v>
      </c>
      <c r="I291" s="4">
        <v>600</v>
      </c>
      <c r="J291" s="4">
        <v>2500</v>
      </c>
      <c r="K291" t="s">
        <v>1060</v>
      </c>
      <c r="L291" s="5"/>
    </row>
    <row r="292" spans="1:12">
      <c r="A292" t="s">
        <v>35</v>
      </c>
      <c r="B292" s="2">
        <v>45914</v>
      </c>
      <c r="C292" t="s">
        <v>1027</v>
      </c>
      <c r="D292" t="s">
        <v>1011</v>
      </c>
      <c r="E292" t="s">
        <v>1041</v>
      </c>
      <c r="F292" t="s">
        <v>1061</v>
      </c>
      <c r="G292">
        <v>1</v>
      </c>
      <c r="H292" s="4">
        <v>5000</v>
      </c>
      <c r="I292" s="4">
        <v>1500</v>
      </c>
      <c r="J292" s="4">
        <v>5000</v>
      </c>
      <c r="K292" t="s">
        <v>1059</v>
      </c>
      <c r="L292" s="5"/>
    </row>
    <row r="293" spans="1:12">
      <c r="A293" t="s">
        <v>300</v>
      </c>
      <c r="B293" s="2">
        <v>45914</v>
      </c>
      <c r="C293" t="s">
        <v>1027</v>
      </c>
      <c r="D293" t="s">
        <v>1013</v>
      </c>
      <c r="E293" t="s">
        <v>1044</v>
      </c>
      <c r="F293" t="s">
        <v>1062</v>
      </c>
      <c r="G293">
        <v>2</v>
      </c>
      <c r="H293" s="4">
        <v>8000</v>
      </c>
      <c r="I293" s="4">
        <v>5000</v>
      </c>
      <c r="J293" s="4">
        <v>16000</v>
      </c>
      <c r="K293" t="s">
        <v>1058</v>
      </c>
      <c r="L293" s="5"/>
    </row>
    <row r="294" spans="1:12">
      <c r="A294" t="s">
        <v>404</v>
      </c>
      <c r="B294" s="2">
        <v>45914</v>
      </c>
      <c r="C294" t="s">
        <v>1027</v>
      </c>
      <c r="D294" t="s">
        <v>1013</v>
      </c>
      <c r="E294" t="s">
        <v>1043</v>
      </c>
      <c r="F294" t="s">
        <v>1021</v>
      </c>
      <c r="G294">
        <v>2</v>
      </c>
      <c r="H294" s="4">
        <v>6000</v>
      </c>
      <c r="I294" s="4">
        <v>3600</v>
      </c>
      <c r="J294" s="4">
        <v>12000</v>
      </c>
      <c r="K294" t="s">
        <v>1059</v>
      </c>
      <c r="L294" s="5"/>
    </row>
    <row r="295" spans="1:12">
      <c r="A295" t="s">
        <v>363</v>
      </c>
      <c r="B295" s="2">
        <v>45913</v>
      </c>
      <c r="C295" t="s">
        <v>1025</v>
      </c>
      <c r="D295" t="s">
        <v>1012</v>
      </c>
      <c r="E295" t="s">
        <v>1041</v>
      </c>
      <c r="F295" t="s">
        <v>1061</v>
      </c>
      <c r="G295">
        <v>1</v>
      </c>
      <c r="H295" s="4">
        <v>5000</v>
      </c>
      <c r="I295" s="4">
        <v>1500</v>
      </c>
      <c r="J295" s="4">
        <v>5000</v>
      </c>
      <c r="K295" t="s">
        <v>1060</v>
      </c>
      <c r="L295" s="5"/>
    </row>
    <row r="296" spans="1:12">
      <c r="A296" t="s">
        <v>495</v>
      </c>
      <c r="B296" s="2">
        <v>45913</v>
      </c>
      <c r="C296" t="s">
        <v>1025</v>
      </c>
      <c r="D296" t="s">
        <v>1011</v>
      </c>
      <c r="E296" t="s">
        <v>1044</v>
      </c>
      <c r="F296" t="s">
        <v>1020</v>
      </c>
      <c r="G296">
        <v>1</v>
      </c>
      <c r="H296" s="4">
        <v>7500</v>
      </c>
      <c r="I296" s="4">
        <v>2200</v>
      </c>
      <c r="J296" s="4">
        <v>7500</v>
      </c>
      <c r="K296" t="s">
        <v>1060</v>
      </c>
      <c r="L296" s="5"/>
    </row>
    <row r="297" spans="1:12">
      <c r="A297" t="s">
        <v>511</v>
      </c>
      <c r="B297" s="2">
        <v>45913</v>
      </c>
      <c r="C297" t="s">
        <v>1026</v>
      </c>
      <c r="D297" t="s">
        <v>1011</v>
      </c>
      <c r="E297" t="s">
        <v>1041</v>
      </c>
      <c r="F297" t="s">
        <v>1016</v>
      </c>
      <c r="G297">
        <v>1</v>
      </c>
      <c r="H297" s="4">
        <v>3000</v>
      </c>
      <c r="I297" s="4">
        <v>800</v>
      </c>
      <c r="J297" s="4">
        <v>3000</v>
      </c>
      <c r="K297" t="s">
        <v>1058</v>
      </c>
      <c r="L297" s="5"/>
    </row>
    <row r="298" spans="1:12">
      <c r="A298" t="s">
        <v>834</v>
      </c>
      <c r="B298" s="2">
        <v>45913</v>
      </c>
      <c r="C298" t="s">
        <v>1027</v>
      </c>
      <c r="D298" t="s">
        <v>1011</v>
      </c>
      <c r="E298" t="s">
        <v>1043</v>
      </c>
      <c r="F298" t="s">
        <v>1018</v>
      </c>
      <c r="G298">
        <v>1</v>
      </c>
      <c r="H298" s="4">
        <v>2500</v>
      </c>
      <c r="I298" s="4">
        <v>600</v>
      </c>
      <c r="J298" s="4">
        <v>2500</v>
      </c>
      <c r="K298" t="s">
        <v>1060</v>
      </c>
      <c r="L298" s="5"/>
    </row>
    <row r="299" spans="1:12">
      <c r="A299" t="s">
        <v>973</v>
      </c>
      <c r="B299" s="2">
        <v>45913</v>
      </c>
      <c r="C299" t="s">
        <v>1025</v>
      </c>
      <c r="D299" t="s">
        <v>1013</v>
      </c>
      <c r="E299" t="s">
        <v>1042</v>
      </c>
      <c r="F299" t="s">
        <v>1022</v>
      </c>
      <c r="G299">
        <v>1</v>
      </c>
      <c r="H299" s="4">
        <v>5000</v>
      </c>
      <c r="I299" s="4">
        <v>1500</v>
      </c>
      <c r="J299" s="4">
        <v>5000</v>
      </c>
      <c r="K299" t="s">
        <v>1059</v>
      </c>
      <c r="L299" s="5"/>
    </row>
    <row r="300" spans="1:12">
      <c r="A300" t="s">
        <v>212</v>
      </c>
      <c r="B300" s="2">
        <v>45912</v>
      </c>
      <c r="C300" t="s">
        <v>1025</v>
      </c>
      <c r="D300" t="s">
        <v>1013</v>
      </c>
      <c r="E300" t="s">
        <v>1044</v>
      </c>
      <c r="F300" t="s">
        <v>1020</v>
      </c>
      <c r="G300">
        <v>1</v>
      </c>
      <c r="H300" s="4">
        <v>7500</v>
      </c>
      <c r="I300" s="4">
        <v>2200</v>
      </c>
      <c r="J300" s="4">
        <v>7500</v>
      </c>
      <c r="K300" t="s">
        <v>1059</v>
      </c>
      <c r="L300" s="5"/>
    </row>
    <row r="301" spans="1:12">
      <c r="A301" t="s">
        <v>281</v>
      </c>
      <c r="B301" s="2">
        <v>45912</v>
      </c>
      <c r="C301" t="s">
        <v>1025</v>
      </c>
      <c r="D301" t="s">
        <v>1012</v>
      </c>
      <c r="E301" t="s">
        <v>1041</v>
      </c>
      <c r="F301" t="s">
        <v>1017</v>
      </c>
      <c r="G301">
        <v>1</v>
      </c>
      <c r="H301" s="4">
        <v>2500</v>
      </c>
      <c r="I301" s="4">
        <v>700</v>
      </c>
      <c r="J301" s="4">
        <v>2500</v>
      </c>
      <c r="K301" t="s">
        <v>1059</v>
      </c>
      <c r="L301" s="5"/>
    </row>
    <row r="302" spans="1:12">
      <c r="A302" t="s">
        <v>384</v>
      </c>
      <c r="B302" s="2">
        <v>45912</v>
      </c>
      <c r="C302" t="s">
        <v>1025</v>
      </c>
      <c r="D302" t="s">
        <v>1011</v>
      </c>
      <c r="E302" t="s">
        <v>1043</v>
      </c>
      <c r="F302" t="s">
        <v>1021</v>
      </c>
      <c r="G302">
        <v>1</v>
      </c>
      <c r="H302" s="4">
        <v>6000</v>
      </c>
      <c r="I302" s="4">
        <v>1800</v>
      </c>
      <c r="J302" s="4">
        <v>6000</v>
      </c>
      <c r="K302" t="s">
        <v>1058</v>
      </c>
      <c r="L302" s="5"/>
    </row>
    <row r="303" spans="1:12">
      <c r="A303" t="s">
        <v>671</v>
      </c>
      <c r="B303" s="2">
        <v>45912</v>
      </c>
      <c r="C303" t="s">
        <v>1027</v>
      </c>
      <c r="D303" t="s">
        <v>1012</v>
      </c>
      <c r="E303" t="s">
        <v>1042</v>
      </c>
      <c r="F303" t="s">
        <v>1022</v>
      </c>
      <c r="G303">
        <v>2</v>
      </c>
      <c r="H303" s="4">
        <v>5000</v>
      </c>
      <c r="I303" s="4">
        <v>3000</v>
      </c>
      <c r="J303" s="4">
        <v>10000</v>
      </c>
      <c r="K303" t="s">
        <v>1060</v>
      </c>
      <c r="L303" s="5"/>
    </row>
    <row r="304" spans="1:12">
      <c r="A304" t="s">
        <v>699</v>
      </c>
      <c r="B304" s="2">
        <v>45912</v>
      </c>
      <c r="C304" t="s">
        <v>1027</v>
      </c>
      <c r="D304" t="s">
        <v>1012</v>
      </c>
      <c r="E304" t="s">
        <v>1042</v>
      </c>
      <c r="F304" t="s">
        <v>1015</v>
      </c>
      <c r="G304">
        <v>1</v>
      </c>
      <c r="H304" s="4">
        <v>4000</v>
      </c>
      <c r="I304" s="4">
        <v>1000</v>
      </c>
      <c r="J304" s="4">
        <v>4000</v>
      </c>
      <c r="K304" t="s">
        <v>1060</v>
      </c>
      <c r="L304" s="5"/>
    </row>
    <row r="305" spans="1:12">
      <c r="A305" t="s">
        <v>106</v>
      </c>
      <c r="B305" s="2">
        <v>45911</v>
      </c>
      <c r="C305" t="s">
        <v>1026</v>
      </c>
      <c r="D305" t="s">
        <v>1013</v>
      </c>
      <c r="E305" t="s">
        <v>1044</v>
      </c>
      <c r="F305" t="s">
        <v>1014</v>
      </c>
      <c r="G305">
        <v>2</v>
      </c>
      <c r="H305" s="4">
        <v>2500</v>
      </c>
      <c r="I305" s="4">
        <v>1000</v>
      </c>
      <c r="J305" s="4">
        <v>5000</v>
      </c>
      <c r="K305" t="s">
        <v>1059</v>
      </c>
      <c r="L305" s="5"/>
    </row>
    <row r="306" spans="1:12">
      <c r="A306" t="s">
        <v>619</v>
      </c>
      <c r="B306" s="2">
        <v>45911</v>
      </c>
      <c r="C306" t="s">
        <v>1026</v>
      </c>
      <c r="D306" t="s">
        <v>1013</v>
      </c>
      <c r="E306" t="s">
        <v>1042</v>
      </c>
      <c r="F306" t="s">
        <v>1019</v>
      </c>
      <c r="G306">
        <v>1</v>
      </c>
      <c r="H306" s="4">
        <v>3000</v>
      </c>
      <c r="I306" s="4">
        <v>800</v>
      </c>
      <c r="J306" s="4">
        <v>3000</v>
      </c>
      <c r="K306" t="s">
        <v>1059</v>
      </c>
      <c r="L306" s="5"/>
    </row>
    <row r="307" spans="1:12">
      <c r="A307" t="s">
        <v>704</v>
      </c>
      <c r="B307" s="2">
        <v>45910</v>
      </c>
      <c r="C307" t="s">
        <v>1026</v>
      </c>
      <c r="D307" t="s">
        <v>1012</v>
      </c>
      <c r="E307" t="s">
        <v>1041</v>
      </c>
      <c r="F307" t="s">
        <v>1016</v>
      </c>
      <c r="G307">
        <v>2</v>
      </c>
      <c r="H307" s="4">
        <v>3000</v>
      </c>
      <c r="I307" s="4">
        <v>1600</v>
      </c>
      <c r="J307" s="4">
        <v>6000</v>
      </c>
      <c r="K307" t="s">
        <v>1060</v>
      </c>
      <c r="L307" s="5"/>
    </row>
    <row r="308" spans="1:12">
      <c r="A308" t="s">
        <v>860</v>
      </c>
      <c r="B308" s="2">
        <v>45909</v>
      </c>
      <c r="C308" t="s">
        <v>1025</v>
      </c>
      <c r="D308" t="s">
        <v>1011</v>
      </c>
      <c r="E308" t="s">
        <v>1041</v>
      </c>
      <c r="F308" t="s">
        <v>1061</v>
      </c>
      <c r="G308">
        <v>1</v>
      </c>
      <c r="H308" s="4">
        <v>5000</v>
      </c>
      <c r="I308" s="4">
        <v>1500</v>
      </c>
      <c r="J308" s="4">
        <v>5000</v>
      </c>
      <c r="K308" t="s">
        <v>1058</v>
      </c>
      <c r="L308" s="5"/>
    </row>
    <row r="309" spans="1:12">
      <c r="A309" t="s">
        <v>38</v>
      </c>
      <c r="B309" s="2">
        <v>45908</v>
      </c>
      <c r="C309" t="s">
        <v>1027</v>
      </c>
      <c r="D309" t="s">
        <v>1013</v>
      </c>
      <c r="E309" t="s">
        <v>1043</v>
      </c>
      <c r="F309" t="s">
        <v>1021</v>
      </c>
      <c r="G309">
        <v>1</v>
      </c>
      <c r="H309" s="4">
        <v>6000</v>
      </c>
      <c r="I309" s="4">
        <v>1800</v>
      </c>
      <c r="J309" s="4">
        <v>6000</v>
      </c>
      <c r="K309" t="s">
        <v>1058</v>
      </c>
      <c r="L309" s="5"/>
    </row>
    <row r="310" spans="1:12">
      <c r="A310" t="s">
        <v>138</v>
      </c>
      <c r="B310" s="2">
        <v>45908</v>
      </c>
      <c r="C310" t="s">
        <v>1027</v>
      </c>
      <c r="D310" t="s">
        <v>1012</v>
      </c>
      <c r="E310" t="s">
        <v>1041</v>
      </c>
      <c r="F310" t="s">
        <v>1061</v>
      </c>
      <c r="G310">
        <v>2</v>
      </c>
      <c r="H310" s="4">
        <v>5000</v>
      </c>
      <c r="I310" s="4">
        <v>3000</v>
      </c>
      <c r="J310" s="4">
        <v>10000</v>
      </c>
      <c r="K310" t="s">
        <v>1058</v>
      </c>
      <c r="L310" s="5"/>
    </row>
    <row r="311" spans="1:12">
      <c r="A311" t="s">
        <v>238</v>
      </c>
      <c r="B311" s="2">
        <v>45908</v>
      </c>
      <c r="C311" t="s">
        <v>1025</v>
      </c>
      <c r="D311" t="s">
        <v>1012</v>
      </c>
      <c r="E311" t="s">
        <v>1044</v>
      </c>
      <c r="F311" t="s">
        <v>1020</v>
      </c>
      <c r="G311">
        <v>1</v>
      </c>
      <c r="H311" s="4">
        <v>7500</v>
      </c>
      <c r="I311" s="4">
        <v>2200</v>
      </c>
      <c r="J311" s="4">
        <v>7500</v>
      </c>
      <c r="K311" t="s">
        <v>1058</v>
      </c>
      <c r="L311" s="5"/>
    </row>
    <row r="312" spans="1:12">
      <c r="A312" t="s">
        <v>496</v>
      </c>
      <c r="B312" s="2">
        <v>45908</v>
      </c>
      <c r="C312" t="s">
        <v>1025</v>
      </c>
      <c r="D312" t="s">
        <v>1011</v>
      </c>
      <c r="E312" t="s">
        <v>1044</v>
      </c>
      <c r="F312" t="s">
        <v>1062</v>
      </c>
      <c r="G312">
        <v>1</v>
      </c>
      <c r="H312" s="4">
        <v>8000</v>
      </c>
      <c r="I312" s="4">
        <v>2500</v>
      </c>
      <c r="J312" s="4">
        <v>8000</v>
      </c>
      <c r="K312" t="s">
        <v>1060</v>
      </c>
      <c r="L312" s="5"/>
    </row>
    <row r="313" spans="1:12">
      <c r="A313" t="s">
        <v>577</v>
      </c>
      <c r="B313" s="2">
        <v>45908</v>
      </c>
      <c r="C313" t="s">
        <v>1027</v>
      </c>
      <c r="D313" t="s">
        <v>1013</v>
      </c>
      <c r="E313" t="s">
        <v>1042</v>
      </c>
      <c r="F313" t="s">
        <v>1022</v>
      </c>
      <c r="G313">
        <v>2</v>
      </c>
      <c r="H313" s="4">
        <v>5000</v>
      </c>
      <c r="I313" s="4">
        <v>3000</v>
      </c>
      <c r="J313" s="4">
        <v>10000</v>
      </c>
      <c r="K313" t="s">
        <v>1060</v>
      </c>
      <c r="L313" s="5"/>
    </row>
    <row r="314" spans="1:12">
      <c r="A314" t="s">
        <v>746</v>
      </c>
      <c r="B314" s="2">
        <v>45908</v>
      </c>
      <c r="C314" t="s">
        <v>1025</v>
      </c>
      <c r="D314" t="s">
        <v>1012</v>
      </c>
      <c r="E314" t="s">
        <v>1044</v>
      </c>
      <c r="F314" t="s">
        <v>1014</v>
      </c>
      <c r="G314">
        <v>1</v>
      </c>
      <c r="H314" s="4">
        <v>2500</v>
      </c>
      <c r="I314" s="4">
        <v>500</v>
      </c>
      <c r="J314" s="4">
        <v>2500</v>
      </c>
      <c r="K314" t="s">
        <v>1059</v>
      </c>
      <c r="L314" s="5"/>
    </row>
    <row r="315" spans="1:12">
      <c r="A315" t="s">
        <v>776</v>
      </c>
      <c r="B315" s="2">
        <v>45908</v>
      </c>
      <c r="C315" t="s">
        <v>1027</v>
      </c>
      <c r="D315" t="s">
        <v>1013</v>
      </c>
      <c r="E315" t="s">
        <v>1043</v>
      </c>
      <c r="F315" t="s">
        <v>1021</v>
      </c>
      <c r="G315">
        <v>1</v>
      </c>
      <c r="H315" s="4">
        <v>6000</v>
      </c>
      <c r="I315" s="4">
        <v>1800</v>
      </c>
      <c r="J315" s="4">
        <v>6000</v>
      </c>
      <c r="K315" t="s">
        <v>1060</v>
      </c>
      <c r="L315" s="5"/>
    </row>
    <row r="316" spans="1:12">
      <c r="A316" t="s">
        <v>120</v>
      </c>
      <c r="B316" s="2">
        <v>45907</v>
      </c>
      <c r="C316" t="s">
        <v>1027</v>
      </c>
      <c r="D316" t="s">
        <v>1012</v>
      </c>
      <c r="E316" t="s">
        <v>1042</v>
      </c>
      <c r="F316" t="s">
        <v>1022</v>
      </c>
      <c r="G316">
        <v>1</v>
      </c>
      <c r="H316" s="4">
        <v>5000</v>
      </c>
      <c r="I316" s="4">
        <v>1500</v>
      </c>
      <c r="J316" s="4">
        <v>5000</v>
      </c>
      <c r="K316" t="s">
        <v>1058</v>
      </c>
      <c r="L316" s="5"/>
    </row>
    <row r="317" spans="1:12">
      <c r="A317" t="s">
        <v>916</v>
      </c>
      <c r="B317" s="2">
        <v>45907</v>
      </c>
      <c r="C317" t="s">
        <v>1026</v>
      </c>
      <c r="D317" t="s">
        <v>1011</v>
      </c>
      <c r="E317" t="s">
        <v>1044</v>
      </c>
      <c r="F317" t="s">
        <v>1062</v>
      </c>
      <c r="G317">
        <v>1</v>
      </c>
      <c r="H317" s="4">
        <v>8000</v>
      </c>
      <c r="I317" s="4">
        <v>2500</v>
      </c>
      <c r="J317" s="4">
        <v>8000</v>
      </c>
      <c r="K317" t="s">
        <v>1059</v>
      </c>
      <c r="L317" s="5"/>
    </row>
    <row r="318" spans="1:12">
      <c r="A318" t="s">
        <v>991</v>
      </c>
      <c r="B318" s="2">
        <v>45907</v>
      </c>
      <c r="C318" t="s">
        <v>1026</v>
      </c>
      <c r="D318" t="s">
        <v>1012</v>
      </c>
      <c r="E318" t="s">
        <v>1041</v>
      </c>
      <c r="F318" t="s">
        <v>1016</v>
      </c>
      <c r="G318">
        <v>1</v>
      </c>
      <c r="H318" s="4">
        <v>3000</v>
      </c>
      <c r="I318" s="4">
        <v>800</v>
      </c>
      <c r="J318" s="4">
        <v>3000</v>
      </c>
      <c r="K318" t="s">
        <v>1060</v>
      </c>
      <c r="L318" s="5"/>
    </row>
    <row r="319" spans="1:12">
      <c r="A319" t="s">
        <v>40</v>
      </c>
      <c r="B319" s="2">
        <v>45906</v>
      </c>
      <c r="C319" t="s">
        <v>1027</v>
      </c>
      <c r="D319" t="s">
        <v>1011</v>
      </c>
      <c r="E319" t="s">
        <v>1041</v>
      </c>
      <c r="F319" t="s">
        <v>1017</v>
      </c>
      <c r="G319">
        <v>1</v>
      </c>
      <c r="H319" s="4">
        <v>2500</v>
      </c>
      <c r="I319" s="4">
        <v>700</v>
      </c>
      <c r="J319" s="4">
        <v>2500</v>
      </c>
      <c r="K319" t="s">
        <v>1059</v>
      </c>
      <c r="L319" s="5"/>
    </row>
    <row r="320" spans="1:12">
      <c r="A320" t="s">
        <v>575</v>
      </c>
      <c r="B320" s="2">
        <v>45906</v>
      </c>
      <c r="C320" t="s">
        <v>1027</v>
      </c>
      <c r="D320" t="s">
        <v>1013</v>
      </c>
      <c r="E320" t="s">
        <v>1044</v>
      </c>
      <c r="F320" t="s">
        <v>1062</v>
      </c>
      <c r="G320">
        <v>1</v>
      </c>
      <c r="H320" s="4">
        <v>8000</v>
      </c>
      <c r="I320" s="4">
        <v>2500</v>
      </c>
      <c r="J320" s="4">
        <v>8000</v>
      </c>
      <c r="K320" t="s">
        <v>1058</v>
      </c>
      <c r="L320" s="5"/>
    </row>
    <row r="321" spans="1:12">
      <c r="A321" t="s">
        <v>894</v>
      </c>
      <c r="B321" s="2">
        <v>45906</v>
      </c>
      <c r="C321" t="s">
        <v>1026</v>
      </c>
      <c r="D321" t="s">
        <v>1012</v>
      </c>
      <c r="E321" t="s">
        <v>1044</v>
      </c>
      <c r="F321" t="s">
        <v>1014</v>
      </c>
      <c r="G321">
        <v>1</v>
      </c>
      <c r="H321" s="4">
        <v>2500</v>
      </c>
      <c r="I321" s="4">
        <v>500</v>
      </c>
      <c r="J321" s="4">
        <v>2500</v>
      </c>
      <c r="K321" t="s">
        <v>1060</v>
      </c>
      <c r="L321" s="5"/>
    </row>
    <row r="322" spans="1:12">
      <c r="A322" t="s">
        <v>385</v>
      </c>
      <c r="B322" s="2">
        <v>45905</v>
      </c>
      <c r="C322" t="s">
        <v>1027</v>
      </c>
      <c r="D322" t="s">
        <v>1011</v>
      </c>
      <c r="E322" t="s">
        <v>1042</v>
      </c>
      <c r="F322" t="s">
        <v>1015</v>
      </c>
      <c r="G322">
        <v>1</v>
      </c>
      <c r="H322" s="4">
        <v>4000</v>
      </c>
      <c r="I322" s="4">
        <v>1000</v>
      </c>
      <c r="J322" s="4">
        <v>4000</v>
      </c>
      <c r="K322" t="s">
        <v>1058</v>
      </c>
      <c r="L322" s="5"/>
    </row>
    <row r="323" spans="1:12">
      <c r="A323" t="s">
        <v>387</v>
      </c>
      <c r="B323" s="2">
        <v>45905</v>
      </c>
      <c r="C323" t="s">
        <v>1026</v>
      </c>
      <c r="D323" t="s">
        <v>1013</v>
      </c>
      <c r="E323" t="s">
        <v>1043</v>
      </c>
      <c r="F323" t="s">
        <v>1023</v>
      </c>
      <c r="G323">
        <v>2</v>
      </c>
      <c r="H323" s="4">
        <v>3000</v>
      </c>
      <c r="I323" s="4">
        <v>1400</v>
      </c>
      <c r="J323" s="4">
        <v>6000</v>
      </c>
      <c r="K323" t="s">
        <v>1058</v>
      </c>
      <c r="L323" s="5"/>
    </row>
    <row r="324" spans="1:12">
      <c r="A324" t="s">
        <v>533</v>
      </c>
      <c r="B324" s="2">
        <v>45905</v>
      </c>
      <c r="C324" t="s">
        <v>1027</v>
      </c>
      <c r="D324" t="s">
        <v>1012</v>
      </c>
      <c r="E324" t="s">
        <v>1044</v>
      </c>
      <c r="F324" t="s">
        <v>1020</v>
      </c>
      <c r="G324">
        <v>1</v>
      </c>
      <c r="H324" s="4">
        <v>7500</v>
      </c>
      <c r="I324" s="4">
        <v>2200</v>
      </c>
      <c r="J324" s="4">
        <v>7500</v>
      </c>
      <c r="K324" t="s">
        <v>1058</v>
      </c>
      <c r="L324" s="5"/>
    </row>
    <row r="325" spans="1:12">
      <c r="A325" t="s">
        <v>908</v>
      </c>
      <c r="B325" s="2">
        <v>45905</v>
      </c>
      <c r="C325" t="s">
        <v>1026</v>
      </c>
      <c r="D325" t="s">
        <v>1013</v>
      </c>
      <c r="E325" t="s">
        <v>1041</v>
      </c>
      <c r="F325" t="s">
        <v>1016</v>
      </c>
      <c r="G325">
        <v>1</v>
      </c>
      <c r="H325" s="4">
        <v>3000</v>
      </c>
      <c r="I325" s="4">
        <v>800</v>
      </c>
      <c r="J325" s="4">
        <v>3000</v>
      </c>
      <c r="K325" t="s">
        <v>1059</v>
      </c>
      <c r="L325" s="5"/>
    </row>
    <row r="326" spans="1:12">
      <c r="A326" t="s">
        <v>920</v>
      </c>
      <c r="B326" s="2">
        <v>45904</v>
      </c>
      <c r="C326" t="s">
        <v>1025</v>
      </c>
      <c r="D326" t="s">
        <v>1012</v>
      </c>
      <c r="E326" t="s">
        <v>1042</v>
      </c>
      <c r="F326" t="s">
        <v>1022</v>
      </c>
      <c r="G326">
        <v>1</v>
      </c>
      <c r="H326" s="4">
        <v>5000</v>
      </c>
      <c r="I326" s="4">
        <v>1500</v>
      </c>
      <c r="J326" s="4">
        <v>5000</v>
      </c>
      <c r="K326" t="s">
        <v>1058</v>
      </c>
      <c r="L326" s="5"/>
    </row>
    <row r="327" spans="1:12">
      <c r="A327" t="s">
        <v>926</v>
      </c>
      <c r="B327" s="2">
        <v>45904</v>
      </c>
      <c r="C327" t="s">
        <v>1027</v>
      </c>
      <c r="D327" t="s">
        <v>1013</v>
      </c>
      <c r="E327" t="s">
        <v>1043</v>
      </c>
      <c r="F327" t="s">
        <v>1023</v>
      </c>
      <c r="G327">
        <v>2</v>
      </c>
      <c r="H327" s="4">
        <v>3000</v>
      </c>
      <c r="I327" s="4">
        <v>1400</v>
      </c>
      <c r="J327" s="4">
        <v>6000</v>
      </c>
      <c r="K327" t="s">
        <v>1058</v>
      </c>
      <c r="L327" s="5"/>
    </row>
    <row r="328" spans="1:12">
      <c r="A328" t="s">
        <v>967</v>
      </c>
      <c r="B328" s="2">
        <v>45904</v>
      </c>
      <c r="C328" t="s">
        <v>1027</v>
      </c>
      <c r="D328" t="s">
        <v>1012</v>
      </c>
      <c r="E328" t="s">
        <v>1043</v>
      </c>
      <c r="F328" t="s">
        <v>1021</v>
      </c>
      <c r="G328">
        <v>1</v>
      </c>
      <c r="H328" s="4">
        <v>6000</v>
      </c>
      <c r="I328" s="4">
        <v>1800</v>
      </c>
      <c r="J328" s="4">
        <v>6000</v>
      </c>
      <c r="K328" t="s">
        <v>1059</v>
      </c>
      <c r="L328" s="5"/>
    </row>
    <row r="329" spans="1:12">
      <c r="A329" t="s">
        <v>485</v>
      </c>
      <c r="B329" s="2">
        <v>45903</v>
      </c>
      <c r="C329" t="s">
        <v>1027</v>
      </c>
      <c r="D329" t="s">
        <v>1012</v>
      </c>
      <c r="E329" t="s">
        <v>1042</v>
      </c>
      <c r="F329" t="s">
        <v>1015</v>
      </c>
      <c r="G329">
        <v>1</v>
      </c>
      <c r="H329" s="4">
        <v>4000</v>
      </c>
      <c r="I329" s="4">
        <v>1000</v>
      </c>
      <c r="J329" s="4">
        <v>4000</v>
      </c>
      <c r="K329" t="s">
        <v>1058</v>
      </c>
      <c r="L329" s="5"/>
    </row>
    <row r="330" spans="1:12">
      <c r="A330" t="s">
        <v>705</v>
      </c>
      <c r="B330" s="2">
        <v>45903</v>
      </c>
      <c r="C330" t="s">
        <v>1025</v>
      </c>
      <c r="D330" t="s">
        <v>1011</v>
      </c>
      <c r="E330" t="s">
        <v>1044</v>
      </c>
      <c r="F330" t="s">
        <v>1020</v>
      </c>
      <c r="G330">
        <v>1</v>
      </c>
      <c r="H330" s="4">
        <v>7500</v>
      </c>
      <c r="I330" s="4">
        <v>2200</v>
      </c>
      <c r="J330" s="4">
        <v>7500</v>
      </c>
      <c r="K330" t="s">
        <v>1060</v>
      </c>
      <c r="L330" s="5"/>
    </row>
    <row r="331" spans="1:12">
      <c r="A331" t="s">
        <v>556</v>
      </c>
      <c r="B331" s="2">
        <v>45901</v>
      </c>
      <c r="C331" t="s">
        <v>1027</v>
      </c>
      <c r="D331" t="s">
        <v>1012</v>
      </c>
      <c r="E331" t="s">
        <v>1043</v>
      </c>
      <c r="F331" t="s">
        <v>1023</v>
      </c>
      <c r="G331">
        <v>1</v>
      </c>
      <c r="H331" s="4">
        <v>3000</v>
      </c>
      <c r="I331" s="4">
        <v>700</v>
      </c>
      <c r="J331" s="4">
        <v>3000</v>
      </c>
      <c r="K331" t="s">
        <v>1060</v>
      </c>
      <c r="L331" s="5"/>
    </row>
    <row r="332" spans="1:12">
      <c r="A332" t="s">
        <v>735</v>
      </c>
      <c r="B332" s="2">
        <v>45901</v>
      </c>
      <c r="C332" t="s">
        <v>1026</v>
      </c>
      <c r="D332" t="s">
        <v>1012</v>
      </c>
      <c r="E332" t="s">
        <v>1044</v>
      </c>
      <c r="F332" t="s">
        <v>1014</v>
      </c>
      <c r="G332">
        <v>1</v>
      </c>
      <c r="H332" s="4">
        <v>2500</v>
      </c>
      <c r="I332" s="4">
        <v>500</v>
      </c>
      <c r="J332" s="4">
        <v>2500</v>
      </c>
      <c r="K332" t="s">
        <v>1059</v>
      </c>
      <c r="L332" s="5"/>
    </row>
    <row r="333" spans="1:12">
      <c r="A333" t="s">
        <v>405</v>
      </c>
      <c r="B333" s="2">
        <v>45900</v>
      </c>
      <c r="C333" t="s">
        <v>1025</v>
      </c>
      <c r="D333" t="s">
        <v>1012</v>
      </c>
      <c r="E333" t="s">
        <v>1041</v>
      </c>
      <c r="F333" t="s">
        <v>1016</v>
      </c>
      <c r="G333">
        <v>1</v>
      </c>
      <c r="H333" s="4">
        <v>3000</v>
      </c>
      <c r="I333" s="4">
        <v>800</v>
      </c>
      <c r="J333" s="4">
        <v>3000</v>
      </c>
      <c r="K333" t="s">
        <v>1059</v>
      </c>
      <c r="L333" s="5"/>
    </row>
    <row r="334" spans="1:12">
      <c r="A334" t="s">
        <v>751</v>
      </c>
      <c r="B334" s="2">
        <v>45900</v>
      </c>
      <c r="C334" t="s">
        <v>1027</v>
      </c>
      <c r="D334" t="s">
        <v>1011</v>
      </c>
      <c r="E334" t="s">
        <v>1042</v>
      </c>
      <c r="F334" t="s">
        <v>1019</v>
      </c>
      <c r="G334">
        <v>1</v>
      </c>
      <c r="H334" s="4">
        <v>3000</v>
      </c>
      <c r="I334" s="4">
        <v>800</v>
      </c>
      <c r="J334" s="4">
        <v>3000</v>
      </c>
      <c r="K334" t="s">
        <v>1059</v>
      </c>
      <c r="L334" s="5"/>
    </row>
    <row r="335" spans="1:12">
      <c r="A335" t="s">
        <v>1007</v>
      </c>
      <c r="B335" s="2">
        <v>45900</v>
      </c>
      <c r="C335" t="s">
        <v>1025</v>
      </c>
      <c r="D335" t="s">
        <v>1013</v>
      </c>
      <c r="E335" t="s">
        <v>1041</v>
      </c>
      <c r="F335" t="s">
        <v>1017</v>
      </c>
      <c r="G335">
        <v>1</v>
      </c>
      <c r="H335" s="4">
        <v>2500</v>
      </c>
      <c r="I335" s="4">
        <v>700</v>
      </c>
      <c r="J335" s="4">
        <v>2500</v>
      </c>
      <c r="K335" t="s">
        <v>1059</v>
      </c>
      <c r="L335" s="5"/>
    </row>
    <row r="336" spans="1:12">
      <c r="A336" t="s">
        <v>192</v>
      </c>
      <c r="B336" s="2">
        <v>45899</v>
      </c>
      <c r="C336" t="s">
        <v>1027</v>
      </c>
      <c r="D336" t="s">
        <v>1012</v>
      </c>
      <c r="E336" t="s">
        <v>1044</v>
      </c>
      <c r="F336" t="s">
        <v>1020</v>
      </c>
      <c r="G336">
        <v>2</v>
      </c>
      <c r="H336" s="4">
        <v>7500</v>
      </c>
      <c r="I336" s="4">
        <v>4400</v>
      </c>
      <c r="J336" s="4">
        <v>15000</v>
      </c>
      <c r="K336" t="s">
        <v>1060</v>
      </c>
      <c r="L336" s="5"/>
    </row>
    <row r="337" spans="1:12">
      <c r="A337" t="s">
        <v>232</v>
      </c>
      <c r="B337" s="2">
        <v>45899</v>
      </c>
      <c r="C337" t="s">
        <v>1027</v>
      </c>
      <c r="D337" t="s">
        <v>1011</v>
      </c>
      <c r="E337" t="s">
        <v>1041</v>
      </c>
      <c r="F337" t="s">
        <v>1017</v>
      </c>
      <c r="G337">
        <v>1</v>
      </c>
      <c r="H337" s="4">
        <v>2500</v>
      </c>
      <c r="I337" s="4">
        <v>700</v>
      </c>
      <c r="J337" s="4">
        <v>2500</v>
      </c>
      <c r="K337" t="s">
        <v>1060</v>
      </c>
      <c r="L337" s="5"/>
    </row>
    <row r="338" spans="1:12">
      <c r="A338" t="s">
        <v>622</v>
      </c>
      <c r="B338" s="2">
        <v>45899</v>
      </c>
      <c r="C338" t="s">
        <v>1027</v>
      </c>
      <c r="D338" t="s">
        <v>1013</v>
      </c>
      <c r="E338" t="s">
        <v>1042</v>
      </c>
      <c r="F338" t="s">
        <v>1015</v>
      </c>
      <c r="G338">
        <v>1</v>
      </c>
      <c r="H338" s="4">
        <v>4000</v>
      </c>
      <c r="I338" s="4">
        <v>1000</v>
      </c>
      <c r="J338" s="4">
        <v>4000</v>
      </c>
      <c r="K338" t="s">
        <v>1060</v>
      </c>
      <c r="L338" s="5"/>
    </row>
    <row r="339" spans="1:12">
      <c r="A339" t="s">
        <v>717</v>
      </c>
      <c r="B339" s="2">
        <v>45899</v>
      </c>
      <c r="C339" t="s">
        <v>1026</v>
      </c>
      <c r="D339" t="s">
        <v>1011</v>
      </c>
      <c r="E339" t="s">
        <v>1042</v>
      </c>
      <c r="F339" t="s">
        <v>1019</v>
      </c>
      <c r="G339">
        <v>2</v>
      </c>
      <c r="H339" s="4">
        <v>3000</v>
      </c>
      <c r="I339" s="4">
        <v>1600</v>
      </c>
      <c r="J339" s="4">
        <v>6000</v>
      </c>
      <c r="K339" t="s">
        <v>1058</v>
      </c>
      <c r="L339" s="5"/>
    </row>
    <row r="340" spans="1:12">
      <c r="A340" t="s">
        <v>770</v>
      </c>
      <c r="B340" s="2">
        <v>45899</v>
      </c>
      <c r="C340" t="s">
        <v>1027</v>
      </c>
      <c r="D340" t="s">
        <v>1011</v>
      </c>
      <c r="E340" t="s">
        <v>1043</v>
      </c>
      <c r="F340" t="s">
        <v>1021</v>
      </c>
      <c r="G340">
        <v>1</v>
      </c>
      <c r="H340" s="4">
        <v>6000</v>
      </c>
      <c r="I340" s="4">
        <v>1800</v>
      </c>
      <c r="J340" s="4">
        <v>6000</v>
      </c>
      <c r="K340" t="s">
        <v>1059</v>
      </c>
      <c r="L340" s="5"/>
    </row>
    <row r="341" spans="1:12">
      <c r="A341" t="s">
        <v>86</v>
      </c>
      <c r="B341" s="2">
        <v>45898</v>
      </c>
      <c r="C341" t="s">
        <v>1027</v>
      </c>
      <c r="D341" t="s">
        <v>1013</v>
      </c>
      <c r="E341" t="s">
        <v>1044</v>
      </c>
      <c r="F341" t="s">
        <v>1020</v>
      </c>
      <c r="G341">
        <v>1</v>
      </c>
      <c r="H341" s="4">
        <v>7500</v>
      </c>
      <c r="I341" s="4">
        <v>2200</v>
      </c>
      <c r="J341" s="4">
        <v>7500</v>
      </c>
      <c r="K341" t="s">
        <v>1058</v>
      </c>
      <c r="L341" s="5"/>
    </row>
    <row r="342" spans="1:12">
      <c r="A342" t="s">
        <v>127</v>
      </c>
      <c r="B342" s="2">
        <v>45898</v>
      </c>
      <c r="C342" t="s">
        <v>1027</v>
      </c>
      <c r="D342" t="s">
        <v>1011</v>
      </c>
      <c r="E342" t="s">
        <v>1044</v>
      </c>
      <c r="F342" t="s">
        <v>1063</v>
      </c>
      <c r="G342">
        <v>1</v>
      </c>
      <c r="H342" s="4">
        <v>7000</v>
      </c>
      <c r="I342" s="4">
        <v>2000</v>
      </c>
      <c r="J342" s="4">
        <v>7000</v>
      </c>
      <c r="K342" t="s">
        <v>1060</v>
      </c>
      <c r="L342" s="5"/>
    </row>
    <row r="343" spans="1:12">
      <c r="A343" t="s">
        <v>158</v>
      </c>
      <c r="B343" s="2">
        <v>45898</v>
      </c>
      <c r="C343" t="s">
        <v>1026</v>
      </c>
      <c r="D343" t="s">
        <v>1012</v>
      </c>
      <c r="E343" t="s">
        <v>1043</v>
      </c>
      <c r="F343" t="s">
        <v>1021</v>
      </c>
      <c r="G343">
        <v>1</v>
      </c>
      <c r="H343" s="4">
        <v>6000</v>
      </c>
      <c r="I343" s="4">
        <v>1800</v>
      </c>
      <c r="J343" s="4">
        <v>6000</v>
      </c>
      <c r="K343" t="s">
        <v>1058</v>
      </c>
      <c r="L343" s="5"/>
    </row>
    <row r="344" spans="1:12">
      <c r="A344" t="s">
        <v>178</v>
      </c>
      <c r="B344" s="2">
        <v>45898</v>
      </c>
      <c r="C344" t="s">
        <v>1025</v>
      </c>
      <c r="D344" t="s">
        <v>1011</v>
      </c>
      <c r="E344" t="s">
        <v>1042</v>
      </c>
      <c r="F344" t="s">
        <v>1019</v>
      </c>
      <c r="G344">
        <v>1</v>
      </c>
      <c r="H344" s="4">
        <v>3000</v>
      </c>
      <c r="I344" s="4">
        <v>800</v>
      </c>
      <c r="J344" s="4">
        <v>3000</v>
      </c>
      <c r="K344" t="s">
        <v>1058</v>
      </c>
      <c r="L344" s="5"/>
    </row>
    <row r="345" spans="1:12">
      <c r="A345" t="s">
        <v>371</v>
      </c>
      <c r="B345" s="2">
        <v>45897</v>
      </c>
      <c r="C345" t="s">
        <v>1025</v>
      </c>
      <c r="D345" t="s">
        <v>1013</v>
      </c>
      <c r="E345" t="s">
        <v>1043</v>
      </c>
      <c r="F345" t="s">
        <v>1018</v>
      </c>
      <c r="G345">
        <v>1</v>
      </c>
      <c r="H345" s="4">
        <v>2500</v>
      </c>
      <c r="I345" s="4">
        <v>600</v>
      </c>
      <c r="J345" s="4">
        <v>2500</v>
      </c>
      <c r="K345" t="s">
        <v>1060</v>
      </c>
      <c r="L345" s="5"/>
    </row>
    <row r="346" spans="1:12">
      <c r="A346" t="s">
        <v>131</v>
      </c>
      <c r="B346" s="2">
        <v>45896</v>
      </c>
      <c r="C346" t="s">
        <v>1025</v>
      </c>
      <c r="D346" t="s">
        <v>1012</v>
      </c>
      <c r="E346" t="s">
        <v>1043</v>
      </c>
      <c r="F346" t="s">
        <v>1021</v>
      </c>
      <c r="G346">
        <v>1</v>
      </c>
      <c r="H346" s="4">
        <v>6000</v>
      </c>
      <c r="I346" s="4">
        <v>1800</v>
      </c>
      <c r="J346" s="4">
        <v>6000</v>
      </c>
      <c r="K346" t="s">
        <v>1058</v>
      </c>
      <c r="L346" s="5"/>
    </row>
    <row r="347" spans="1:12">
      <c r="A347" t="s">
        <v>644</v>
      </c>
      <c r="B347" s="2">
        <v>45896</v>
      </c>
      <c r="C347" t="s">
        <v>1026</v>
      </c>
      <c r="D347" t="s">
        <v>1012</v>
      </c>
      <c r="E347" t="s">
        <v>1044</v>
      </c>
      <c r="F347" t="s">
        <v>1020</v>
      </c>
      <c r="G347">
        <v>1</v>
      </c>
      <c r="H347" s="4">
        <v>7500</v>
      </c>
      <c r="I347" s="4">
        <v>2200</v>
      </c>
      <c r="J347" s="4">
        <v>7500</v>
      </c>
      <c r="K347" t="s">
        <v>1058</v>
      </c>
      <c r="L347" s="5"/>
    </row>
    <row r="348" spans="1:12">
      <c r="A348" t="s">
        <v>754</v>
      </c>
      <c r="B348" s="2">
        <v>45896</v>
      </c>
      <c r="C348" t="s">
        <v>1026</v>
      </c>
      <c r="D348" t="s">
        <v>1011</v>
      </c>
      <c r="E348" t="s">
        <v>1044</v>
      </c>
      <c r="F348" t="s">
        <v>1063</v>
      </c>
      <c r="G348">
        <v>1</v>
      </c>
      <c r="H348" s="4">
        <v>7000</v>
      </c>
      <c r="I348" s="4">
        <v>2000</v>
      </c>
      <c r="J348" s="4">
        <v>7000</v>
      </c>
      <c r="K348" t="s">
        <v>1060</v>
      </c>
      <c r="L348" s="5"/>
    </row>
    <row r="349" spans="1:12">
      <c r="A349" t="s">
        <v>109</v>
      </c>
      <c r="B349" s="2">
        <v>45895</v>
      </c>
      <c r="C349" t="s">
        <v>1025</v>
      </c>
      <c r="D349" t="s">
        <v>1011</v>
      </c>
      <c r="E349" t="s">
        <v>1043</v>
      </c>
      <c r="F349" t="s">
        <v>1023</v>
      </c>
      <c r="G349">
        <v>1</v>
      </c>
      <c r="H349" s="4">
        <v>3000</v>
      </c>
      <c r="I349" s="4">
        <v>700</v>
      </c>
      <c r="J349" s="4">
        <v>3000</v>
      </c>
      <c r="K349" t="s">
        <v>1060</v>
      </c>
      <c r="L349" s="5"/>
    </row>
    <row r="350" spans="1:12">
      <c r="A350" t="s">
        <v>142</v>
      </c>
      <c r="B350" s="2">
        <v>45895</v>
      </c>
      <c r="C350" t="s">
        <v>1025</v>
      </c>
      <c r="D350" t="s">
        <v>1011</v>
      </c>
      <c r="E350" t="s">
        <v>1043</v>
      </c>
      <c r="F350" t="s">
        <v>1023</v>
      </c>
      <c r="G350">
        <v>1</v>
      </c>
      <c r="H350" s="4">
        <v>3000</v>
      </c>
      <c r="I350" s="4">
        <v>700</v>
      </c>
      <c r="J350" s="4">
        <v>3000</v>
      </c>
      <c r="K350" t="s">
        <v>1060</v>
      </c>
      <c r="L350" s="5"/>
    </row>
    <row r="351" spans="1:12">
      <c r="A351" t="s">
        <v>293</v>
      </c>
      <c r="B351" s="2">
        <v>45895</v>
      </c>
      <c r="C351" t="s">
        <v>1025</v>
      </c>
      <c r="D351" t="s">
        <v>1011</v>
      </c>
      <c r="E351" t="s">
        <v>1041</v>
      </c>
      <c r="F351" t="s">
        <v>1016</v>
      </c>
      <c r="G351">
        <v>2</v>
      </c>
      <c r="H351" s="4">
        <v>3000</v>
      </c>
      <c r="I351" s="4">
        <v>1600</v>
      </c>
      <c r="J351" s="4">
        <v>6000</v>
      </c>
      <c r="K351" t="s">
        <v>1058</v>
      </c>
      <c r="L351" s="5"/>
    </row>
    <row r="352" spans="1:12">
      <c r="A352" t="s">
        <v>899</v>
      </c>
      <c r="B352" s="2">
        <v>45894</v>
      </c>
      <c r="C352" t="s">
        <v>1026</v>
      </c>
      <c r="D352" t="s">
        <v>1012</v>
      </c>
      <c r="E352" t="s">
        <v>1044</v>
      </c>
      <c r="F352" t="s">
        <v>1062</v>
      </c>
      <c r="G352">
        <v>2</v>
      </c>
      <c r="H352" s="4">
        <v>8000</v>
      </c>
      <c r="I352" s="4">
        <v>5000</v>
      </c>
      <c r="J352" s="4">
        <v>16000</v>
      </c>
      <c r="K352" t="s">
        <v>1058</v>
      </c>
      <c r="L352" s="5"/>
    </row>
    <row r="353" spans="1:12">
      <c r="A353" t="s">
        <v>16</v>
      </c>
      <c r="B353" s="2">
        <v>45893</v>
      </c>
      <c r="C353" t="s">
        <v>1025</v>
      </c>
      <c r="D353" t="s">
        <v>1013</v>
      </c>
      <c r="E353" t="s">
        <v>1042</v>
      </c>
      <c r="F353" t="s">
        <v>1019</v>
      </c>
      <c r="G353">
        <v>1</v>
      </c>
      <c r="H353" s="4">
        <v>3000</v>
      </c>
      <c r="I353" s="4">
        <v>800</v>
      </c>
      <c r="J353" s="4">
        <v>3000</v>
      </c>
      <c r="K353" t="s">
        <v>1058</v>
      </c>
      <c r="L353" s="5"/>
    </row>
    <row r="354" spans="1:12">
      <c r="A354" t="s">
        <v>213</v>
      </c>
      <c r="B354" s="2">
        <v>45893</v>
      </c>
      <c r="C354" t="s">
        <v>1026</v>
      </c>
      <c r="D354" t="s">
        <v>1011</v>
      </c>
      <c r="E354" t="s">
        <v>1043</v>
      </c>
      <c r="F354" t="s">
        <v>1023</v>
      </c>
      <c r="G354">
        <v>1</v>
      </c>
      <c r="H354" s="4">
        <v>3000</v>
      </c>
      <c r="I354" s="4">
        <v>700</v>
      </c>
      <c r="J354" s="4">
        <v>3000</v>
      </c>
      <c r="K354" t="s">
        <v>1059</v>
      </c>
      <c r="L354" s="5"/>
    </row>
    <row r="355" spans="1:12">
      <c r="A355" t="s">
        <v>284</v>
      </c>
      <c r="B355" s="2">
        <v>45893</v>
      </c>
      <c r="C355" t="s">
        <v>1027</v>
      </c>
      <c r="D355" t="s">
        <v>1012</v>
      </c>
      <c r="E355" t="s">
        <v>1044</v>
      </c>
      <c r="F355" t="s">
        <v>1020</v>
      </c>
      <c r="G355">
        <v>1</v>
      </c>
      <c r="H355" s="4">
        <v>7500</v>
      </c>
      <c r="I355" s="4">
        <v>2200</v>
      </c>
      <c r="J355" s="4">
        <v>7500</v>
      </c>
      <c r="K355" t="s">
        <v>1060</v>
      </c>
      <c r="L355" s="5"/>
    </row>
    <row r="356" spans="1:12">
      <c r="A356" t="s">
        <v>418</v>
      </c>
      <c r="B356" s="2">
        <v>45893</v>
      </c>
      <c r="C356" t="s">
        <v>1025</v>
      </c>
      <c r="D356" t="s">
        <v>1012</v>
      </c>
      <c r="E356" t="s">
        <v>1044</v>
      </c>
      <c r="F356" t="s">
        <v>1062</v>
      </c>
      <c r="G356">
        <v>1</v>
      </c>
      <c r="H356" s="4">
        <v>8000</v>
      </c>
      <c r="I356" s="4">
        <v>2500</v>
      </c>
      <c r="J356" s="4">
        <v>8000</v>
      </c>
      <c r="K356" t="s">
        <v>1060</v>
      </c>
      <c r="L356" s="5"/>
    </row>
    <row r="357" spans="1:12">
      <c r="A357" t="s">
        <v>874</v>
      </c>
      <c r="B357" s="2">
        <v>45893</v>
      </c>
      <c r="C357" t="s">
        <v>1025</v>
      </c>
      <c r="D357" t="s">
        <v>1012</v>
      </c>
      <c r="E357" t="s">
        <v>1041</v>
      </c>
      <c r="F357" t="s">
        <v>1016</v>
      </c>
      <c r="G357">
        <v>1</v>
      </c>
      <c r="H357" s="4">
        <v>3000</v>
      </c>
      <c r="I357" s="4">
        <v>800</v>
      </c>
      <c r="J357" s="4">
        <v>3000</v>
      </c>
      <c r="K357" t="s">
        <v>1059</v>
      </c>
      <c r="L357" s="5"/>
    </row>
    <row r="358" spans="1:12">
      <c r="A358" t="s">
        <v>252</v>
      </c>
      <c r="B358" s="2">
        <v>45892</v>
      </c>
      <c r="C358" t="s">
        <v>1025</v>
      </c>
      <c r="D358" t="s">
        <v>1013</v>
      </c>
      <c r="E358" t="s">
        <v>1043</v>
      </c>
      <c r="F358" t="s">
        <v>1018</v>
      </c>
      <c r="G358">
        <v>1</v>
      </c>
      <c r="H358" s="4">
        <v>2500</v>
      </c>
      <c r="I358" s="4">
        <v>600</v>
      </c>
      <c r="J358" s="4">
        <v>2500</v>
      </c>
      <c r="K358" t="s">
        <v>1059</v>
      </c>
      <c r="L358" s="5"/>
    </row>
    <row r="359" spans="1:12">
      <c r="A359" t="s">
        <v>595</v>
      </c>
      <c r="B359" s="2">
        <v>45892</v>
      </c>
      <c r="C359" t="s">
        <v>1025</v>
      </c>
      <c r="D359" t="s">
        <v>1011</v>
      </c>
      <c r="E359" t="s">
        <v>1041</v>
      </c>
      <c r="F359" t="s">
        <v>1061</v>
      </c>
      <c r="G359">
        <v>1</v>
      </c>
      <c r="H359" s="4">
        <v>5000</v>
      </c>
      <c r="I359" s="4">
        <v>1500</v>
      </c>
      <c r="J359" s="4">
        <v>5000</v>
      </c>
      <c r="K359" t="s">
        <v>1060</v>
      </c>
      <c r="L359" s="5"/>
    </row>
    <row r="360" spans="1:12">
      <c r="A360" t="s">
        <v>981</v>
      </c>
      <c r="B360" s="2">
        <v>45892</v>
      </c>
      <c r="C360" t="s">
        <v>1027</v>
      </c>
      <c r="D360" t="s">
        <v>1011</v>
      </c>
      <c r="E360" t="s">
        <v>1042</v>
      </c>
      <c r="F360" t="s">
        <v>1019</v>
      </c>
      <c r="G360">
        <v>1</v>
      </c>
      <c r="H360" s="4">
        <v>3000</v>
      </c>
      <c r="I360" s="4">
        <v>800</v>
      </c>
      <c r="J360" s="4">
        <v>3000</v>
      </c>
      <c r="K360" t="s">
        <v>1060</v>
      </c>
      <c r="L360" s="5"/>
    </row>
    <row r="361" spans="1:12">
      <c r="A361" t="s">
        <v>105</v>
      </c>
      <c r="B361" s="2">
        <v>45891</v>
      </c>
      <c r="C361" t="s">
        <v>1026</v>
      </c>
      <c r="D361" t="s">
        <v>1011</v>
      </c>
      <c r="E361" t="s">
        <v>1043</v>
      </c>
      <c r="F361" t="s">
        <v>1023</v>
      </c>
      <c r="G361">
        <v>1</v>
      </c>
      <c r="H361" s="4">
        <v>3000</v>
      </c>
      <c r="I361" s="4">
        <v>700</v>
      </c>
      <c r="J361" s="4">
        <v>3000</v>
      </c>
      <c r="K361" t="s">
        <v>1060</v>
      </c>
      <c r="L361" s="5"/>
    </row>
    <row r="362" spans="1:12">
      <c r="A362" t="s">
        <v>216</v>
      </c>
      <c r="B362" s="2">
        <v>45891</v>
      </c>
      <c r="C362" t="s">
        <v>1026</v>
      </c>
      <c r="D362" t="s">
        <v>1013</v>
      </c>
      <c r="E362" t="s">
        <v>1044</v>
      </c>
      <c r="F362" t="s">
        <v>1020</v>
      </c>
      <c r="G362">
        <v>1</v>
      </c>
      <c r="H362" s="4">
        <v>7500</v>
      </c>
      <c r="I362" s="4">
        <v>2200</v>
      </c>
      <c r="J362" s="4">
        <v>7500</v>
      </c>
      <c r="K362" t="s">
        <v>1058</v>
      </c>
      <c r="L362" s="5"/>
    </row>
    <row r="363" spans="1:12">
      <c r="A363" t="s">
        <v>636</v>
      </c>
      <c r="B363" s="2">
        <v>45891</v>
      </c>
      <c r="C363" t="s">
        <v>1025</v>
      </c>
      <c r="D363" t="s">
        <v>1012</v>
      </c>
      <c r="E363" t="s">
        <v>1041</v>
      </c>
      <c r="F363" t="s">
        <v>1017</v>
      </c>
      <c r="G363">
        <v>2</v>
      </c>
      <c r="H363" s="4">
        <v>2500</v>
      </c>
      <c r="I363" s="4">
        <v>1400</v>
      </c>
      <c r="J363" s="4">
        <v>5000</v>
      </c>
      <c r="K363" t="s">
        <v>1059</v>
      </c>
      <c r="L363" s="5"/>
    </row>
    <row r="364" spans="1:12">
      <c r="A364" t="s">
        <v>807</v>
      </c>
      <c r="B364" s="2">
        <v>45891</v>
      </c>
      <c r="C364" t="s">
        <v>1026</v>
      </c>
      <c r="D364" t="s">
        <v>1012</v>
      </c>
      <c r="E364" t="s">
        <v>1044</v>
      </c>
      <c r="F364" t="s">
        <v>1020</v>
      </c>
      <c r="G364">
        <v>2</v>
      </c>
      <c r="H364" s="4">
        <v>7500</v>
      </c>
      <c r="I364" s="4">
        <v>4400</v>
      </c>
      <c r="J364" s="4">
        <v>15000</v>
      </c>
      <c r="K364" t="s">
        <v>1060</v>
      </c>
      <c r="L364" s="5"/>
    </row>
    <row r="365" spans="1:12">
      <c r="A365" t="s">
        <v>58</v>
      </c>
      <c r="B365" s="2">
        <v>45890</v>
      </c>
      <c r="C365" t="s">
        <v>1026</v>
      </c>
      <c r="D365" t="s">
        <v>1012</v>
      </c>
      <c r="E365" t="s">
        <v>1044</v>
      </c>
      <c r="F365" t="s">
        <v>1020</v>
      </c>
      <c r="G365">
        <v>1</v>
      </c>
      <c r="H365" s="4">
        <v>7500</v>
      </c>
      <c r="I365" s="4">
        <v>2200</v>
      </c>
      <c r="J365" s="4">
        <v>7500</v>
      </c>
      <c r="K365" t="s">
        <v>1060</v>
      </c>
      <c r="L365" s="5"/>
    </row>
    <row r="366" spans="1:12">
      <c r="A366" t="s">
        <v>230</v>
      </c>
      <c r="B366" s="2">
        <v>45890</v>
      </c>
      <c r="C366" t="s">
        <v>1026</v>
      </c>
      <c r="D366" t="s">
        <v>1011</v>
      </c>
      <c r="E366" t="s">
        <v>1043</v>
      </c>
      <c r="F366" t="s">
        <v>1018</v>
      </c>
      <c r="G366">
        <v>1</v>
      </c>
      <c r="H366" s="4">
        <v>2500</v>
      </c>
      <c r="I366" s="4">
        <v>600</v>
      </c>
      <c r="J366" s="4">
        <v>2500</v>
      </c>
      <c r="K366" t="s">
        <v>1060</v>
      </c>
      <c r="L366" s="5"/>
    </row>
    <row r="367" spans="1:12">
      <c r="A367" t="s">
        <v>455</v>
      </c>
      <c r="B367" s="2">
        <v>45890</v>
      </c>
      <c r="C367" t="s">
        <v>1027</v>
      </c>
      <c r="D367" t="s">
        <v>1011</v>
      </c>
      <c r="E367" t="s">
        <v>1043</v>
      </c>
      <c r="F367" t="s">
        <v>1023</v>
      </c>
      <c r="G367">
        <v>1</v>
      </c>
      <c r="H367" s="4">
        <v>3000</v>
      </c>
      <c r="I367" s="4">
        <v>700</v>
      </c>
      <c r="J367" s="4">
        <v>3000</v>
      </c>
      <c r="K367" t="s">
        <v>1058</v>
      </c>
      <c r="L367" s="5"/>
    </row>
    <row r="368" spans="1:12">
      <c r="A368" t="s">
        <v>594</v>
      </c>
      <c r="B368" s="2">
        <v>45890</v>
      </c>
      <c r="C368" t="s">
        <v>1026</v>
      </c>
      <c r="D368" t="s">
        <v>1012</v>
      </c>
      <c r="E368" t="s">
        <v>1042</v>
      </c>
      <c r="F368" t="s">
        <v>1022</v>
      </c>
      <c r="G368">
        <v>1</v>
      </c>
      <c r="H368" s="4">
        <v>5000</v>
      </c>
      <c r="I368" s="4">
        <v>1500</v>
      </c>
      <c r="J368" s="4">
        <v>5000</v>
      </c>
      <c r="K368" t="s">
        <v>1060</v>
      </c>
      <c r="L368" s="5"/>
    </row>
    <row r="369" spans="1:12">
      <c r="A369" t="s">
        <v>911</v>
      </c>
      <c r="B369" s="2">
        <v>45890</v>
      </c>
      <c r="C369" t="s">
        <v>1027</v>
      </c>
      <c r="D369" t="s">
        <v>1013</v>
      </c>
      <c r="E369" t="s">
        <v>1044</v>
      </c>
      <c r="F369" t="s">
        <v>1020</v>
      </c>
      <c r="G369">
        <v>2</v>
      </c>
      <c r="H369" s="4">
        <v>7500</v>
      </c>
      <c r="I369" s="4">
        <v>4400</v>
      </c>
      <c r="J369" s="4">
        <v>15000</v>
      </c>
      <c r="K369" t="s">
        <v>1060</v>
      </c>
      <c r="L369" s="5"/>
    </row>
    <row r="370" spans="1:12">
      <c r="A370" t="s">
        <v>366</v>
      </c>
      <c r="B370" s="2">
        <v>45889</v>
      </c>
      <c r="C370" t="s">
        <v>1027</v>
      </c>
      <c r="D370" t="s">
        <v>1011</v>
      </c>
      <c r="E370" t="s">
        <v>1041</v>
      </c>
      <c r="F370" t="s">
        <v>1016</v>
      </c>
      <c r="G370">
        <v>1</v>
      </c>
      <c r="H370" s="4">
        <v>3000</v>
      </c>
      <c r="I370" s="4">
        <v>800</v>
      </c>
      <c r="J370" s="4">
        <v>3000</v>
      </c>
      <c r="K370" t="s">
        <v>1058</v>
      </c>
      <c r="L370" s="5"/>
    </row>
    <row r="371" spans="1:12">
      <c r="A371" t="s">
        <v>660</v>
      </c>
      <c r="B371" s="2">
        <v>45889</v>
      </c>
      <c r="C371" t="s">
        <v>1026</v>
      </c>
      <c r="D371" t="s">
        <v>1012</v>
      </c>
      <c r="E371" t="s">
        <v>1042</v>
      </c>
      <c r="F371" t="s">
        <v>1019</v>
      </c>
      <c r="G371">
        <v>1</v>
      </c>
      <c r="H371" s="4">
        <v>3000</v>
      </c>
      <c r="I371" s="4">
        <v>800</v>
      </c>
      <c r="J371" s="4">
        <v>3000</v>
      </c>
      <c r="K371" t="s">
        <v>1058</v>
      </c>
      <c r="L371" s="5"/>
    </row>
    <row r="372" spans="1:12">
      <c r="A372" t="s">
        <v>706</v>
      </c>
      <c r="B372" s="2">
        <v>45889</v>
      </c>
      <c r="C372" t="s">
        <v>1027</v>
      </c>
      <c r="D372" t="s">
        <v>1013</v>
      </c>
      <c r="E372" t="s">
        <v>1044</v>
      </c>
      <c r="F372" t="s">
        <v>1014</v>
      </c>
      <c r="G372">
        <v>1</v>
      </c>
      <c r="H372" s="4">
        <v>2500</v>
      </c>
      <c r="I372" s="4">
        <v>500</v>
      </c>
      <c r="J372" s="4">
        <v>2500</v>
      </c>
      <c r="K372" t="s">
        <v>1058</v>
      </c>
      <c r="L372" s="5"/>
    </row>
    <row r="373" spans="1:12">
      <c r="A373" t="s">
        <v>775</v>
      </c>
      <c r="B373" s="2">
        <v>45889</v>
      </c>
      <c r="C373" t="s">
        <v>1026</v>
      </c>
      <c r="D373" t="s">
        <v>1013</v>
      </c>
      <c r="E373" t="s">
        <v>1041</v>
      </c>
      <c r="F373" t="s">
        <v>1061</v>
      </c>
      <c r="G373">
        <v>1</v>
      </c>
      <c r="H373" s="4">
        <v>5000</v>
      </c>
      <c r="I373" s="4">
        <v>1500</v>
      </c>
      <c r="J373" s="4">
        <v>5000</v>
      </c>
      <c r="K373" t="s">
        <v>1059</v>
      </c>
      <c r="L373" s="5"/>
    </row>
    <row r="374" spans="1:12">
      <c r="A374" t="s">
        <v>827</v>
      </c>
      <c r="B374" s="2">
        <v>45889</v>
      </c>
      <c r="C374" t="s">
        <v>1027</v>
      </c>
      <c r="D374" t="s">
        <v>1013</v>
      </c>
      <c r="E374" t="s">
        <v>1042</v>
      </c>
      <c r="F374" t="s">
        <v>1022</v>
      </c>
      <c r="G374">
        <v>1</v>
      </c>
      <c r="H374" s="4">
        <v>5000</v>
      </c>
      <c r="I374" s="4">
        <v>1500</v>
      </c>
      <c r="J374" s="4">
        <v>5000</v>
      </c>
      <c r="K374" t="s">
        <v>1060</v>
      </c>
      <c r="L374" s="5"/>
    </row>
    <row r="375" spans="1:12">
      <c r="A375" t="s">
        <v>299</v>
      </c>
      <c r="B375" s="2">
        <v>45888</v>
      </c>
      <c r="C375" t="s">
        <v>1025</v>
      </c>
      <c r="D375" t="s">
        <v>1011</v>
      </c>
      <c r="E375" t="s">
        <v>1043</v>
      </c>
      <c r="F375" t="s">
        <v>1023</v>
      </c>
      <c r="G375">
        <v>1</v>
      </c>
      <c r="H375" s="4">
        <v>3000</v>
      </c>
      <c r="I375" s="4">
        <v>700</v>
      </c>
      <c r="J375" s="4">
        <v>3000</v>
      </c>
      <c r="K375" t="s">
        <v>1059</v>
      </c>
      <c r="L375" s="5"/>
    </row>
    <row r="376" spans="1:12">
      <c r="A376" t="s">
        <v>374</v>
      </c>
      <c r="B376" s="2">
        <v>45888</v>
      </c>
      <c r="C376" t="s">
        <v>1026</v>
      </c>
      <c r="D376" t="s">
        <v>1011</v>
      </c>
      <c r="E376" t="s">
        <v>1044</v>
      </c>
      <c r="F376" t="s">
        <v>1062</v>
      </c>
      <c r="G376">
        <v>1</v>
      </c>
      <c r="H376" s="4">
        <v>8000</v>
      </c>
      <c r="I376" s="4">
        <v>2500</v>
      </c>
      <c r="J376" s="4">
        <v>8000</v>
      </c>
      <c r="K376" t="s">
        <v>1060</v>
      </c>
      <c r="L376" s="5"/>
    </row>
    <row r="377" spans="1:12">
      <c r="A377" t="s">
        <v>833</v>
      </c>
      <c r="B377" s="2">
        <v>45888</v>
      </c>
      <c r="C377" t="s">
        <v>1026</v>
      </c>
      <c r="D377" t="s">
        <v>1011</v>
      </c>
      <c r="E377" t="s">
        <v>1042</v>
      </c>
      <c r="F377" t="s">
        <v>1015</v>
      </c>
      <c r="G377">
        <v>1</v>
      </c>
      <c r="H377" s="4">
        <v>4000</v>
      </c>
      <c r="I377" s="4">
        <v>1000</v>
      </c>
      <c r="J377" s="4">
        <v>4000</v>
      </c>
      <c r="K377" t="s">
        <v>1060</v>
      </c>
      <c r="L377" s="5"/>
    </row>
    <row r="378" spans="1:12">
      <c r="A378" t="s">
        <v>469</v>
      </c>
      <c r="B378" s="2">
        <v>45886</v>
      </c>
      <c r="C378" t="s">
        <v>1025</v>
      </c>
      <c r="D378" t="s">
        <v>1011</v>
      </c>
      <c r="E378" t="s">
        <v>1043</v>
      </c>
      <c r="F378" t="s">
        <v>1021</v>
      </c>
      <c r="G378">
        <v>1</v>
      </c>
      <c r="H378" s="4">
        <v>6000</v>
      </c>
      <c r="I378" s="4">
        <v>1800</v>
      </c>
      <c r="J378" s="4">
        <v>6000</v>
      </c>
      <c r="K378" t="s">
        <v>1060</v>
      </c>
      <c r="L378" s="5"/>
    </row>
    <row r="379" spans="1:12">
      <c r="A379" t="s">
        <v>552</v>
      </c>
      <c r="B379" s="2">
        <v>45886</v>
      </c>
      <c r="C379" t="s">
        <v>1026</v>
      </c>
      <c r="D379" t="s">
        <v>1012</v>
      </c>
      <c r="E379" t="s">
        <v>1043</v>
      </c>
      <c r="F379" t="s">
        <v>1018</v>
      </c>
      <c r="G379">
        <v>1</v>
      </c>
      <c r="H379" s="4">
        <v>2500</v>
      </c>
      <c r="I379" s="4">
        <v>600</v>
      </c>
      <c r="J379" s="4">
        <v>2500</v>
      </c>
      <c r="K379" t="s">
        <v>1058</v>
      </c>
      <c r="L379" s="5"/>
    </row>
    <row r="380" spans="1:12">
      <c r="A380" t="s">
        <v>701</v>
      </c>
      <c r="B380" s="2">
        <v>45886</v>
      </c>
      <c r="C380" t="s">
        <v>1027</v>
      </c>
      <c r="D380" t="s">
        <v>1012</v>
      </c>
      <c r="E380" t="s">
        <v>1041</v>
      </c>
      <c r="F380" t="s">
        <v>1017</v>
      </c>
      <c r="G380">
        <v>1</v>
      </c>
      <c r="H380" s="4">
        <v>2500</v>
      </c>
      <c r="I380" s="4">
        <v>700</v>
      </c>
      <c r="J380" s="4">
        <v>2500</v>
      </c>
      <c r="K380" t="s">
        <v>1059</v>
      </c>
      <c r="L380" s="5"/>
    </row>
    <row r="381" spans="1:12">
      <c r="A381" t="s">
        <v>998</v>
      </c>
      <c r="B381" s="2">
        <v>45886</v>
      </c>
      <c r="C381" t="s">
        <v>1027</v>
      </c>
      <c r="D381" t="s">
        <v>1012</v>
      </c>
      <c r="E381" t="s">
        <v>1043</v>
      </c>
      <c r="F381" t="s">
        <v>1018</v>
      </c>
      <c r="G381">
        <v>2</v>
      </c>
      <c r="H381" s="4">
        <v>2500</v>
      </c>
      <c r="I381" s="4">
        <v>1200</v>
      </c>
      <c r="J381" s="4">
        <v>5000</v>
      </c>
      <c r="K381" t="s">
        <v>1060</v>
      </c>
      <c r="L381" s="5"/>
    </row>
    <row r="382" spans="1:12">
      <c r="A382" t="s">
        <v>208</v>
      </c>
      <c r="B382" s="2">
        <v>45885</v>
      </c>
      <c r="C382" t="s">
        <v>1027</v>
      </c>
      <c r="D382" t="s">
        <v>1011</v>
      </c>
      <c r="E382" t="s">
        <v>1041</v>
      </c>
      <c r="F382" t="s">
        <v>1017</v>
      </c>
      <c r="G382">
        <v>1</v>
      </c>
      <c r="H382" s="4">
        <v>2500</v>
      </c>
      <c r="I382" s="4">
        <v>700</v>
      </c>
      <c r="J382" s="4">
        <v>2500</v>
      </c>
      <c r="K382" t="s">
        <v>1058</v>
      </c>
      <c r="L382" s="5"/>
    </row>
    <row r="383" spans="1:12">
      <c r="A383" t="s">
        <v>318</v>
      </c>
      <c r="B383" s="2">
        <v>45885</v>
      </c>
      <c r="C383" t="s">
        <v>1025</v>
      </c>
      <c r="D383" t="s">
        <v>1012</v>
      </c>
      <c r="E383" t="s">
        <v>1042</v>
      </c>
      <c r="F383" t="s">
        <v>1015</v>
      </c>
      <c r="G383">
        <v>1</v>
      </c>
      <c r="H383" s="4">
        <v>4000</v>
      </c>
      <c r="I383" s="4">
        <v>1000</v>
      </c>
      <c r="J383" s="4">
        <v>4000</v>
      </c>
      <c r="K383" t="s">
        <v>1060</v>
      </c>
      <c r="L383" s="5"/>
    </row>
    <row r="384" spans="1:12">
      <c r="A384" t="s">
        <v>101</v>
      </c>
      <c r="B384" s="2">
        <v>45884</v>
      </c>
      <c r="C384" t="s">
        <v>1026</v>
      </c>
      <c r="D384" t="s">
        <v>1011</v>
      </c>
      <c r="E384" t="s">
        <v>1044</v>
      </c>
      <c r="F384" t="s">
        <v>1062</v>
      </c>
      <c r="G384">
        <v>2</v>
      </c>
      <c r="H384" s="4">
        <v>8000</v>
      </c>
      <c r="I384" s="4">
        <v>5000</v>
      </c>
      <c r="J384" s="4">
        <v>16000</v>
      </c>
      <c r="K384" t="s">
        <v>1059</v>
      </c>
      <c r="L384" s="5"/>
    </row>
    <row r="385" spans="1:12">
      <c r="A385" t="s">
        <v>110</v>
      </c>
      <c r="B385" s="2">
        <v>45884</v>
      </c>
      <c r="C385" t="s">
        <v>1025</v>
      </c>
      <c r="D385" t="s">
        <v>1011</v>
      </c>
      <c r="E385" t="s">
        <v>1043</v>
      </c>
      <c r="F385" t="s">
        <v>1021</v>
      </c>
      <c r="G385">
        <v>1</v>
      </c>
      <c r="H385" s="4">
        <v>6000</v>
      </c>
      <c r="I385" s="4">
        <v>1800</v>
      </c>
      <c r="J385" s="4">
        <v>6000</v>
      </c>
      <c r="K385" t="s">
        <v>1060</v>
      </c>
      <c r="L385" s="5"/>
    </row>
    <row r="386" spans="1:12">
      <c r="A386" t="s">
        <v>295</v>
      </c>
      <c r="B386" s="2">
        <v>45884</v>
      </c>
      <c r="C386" t="s">
        <v>1025</v>
      </c>
      <c r="D386" t="s">
        <v>1012</v>
      </c>
      <c r="E386" t="s">
        <v>1041</v>
      </c>
      <c r="F386" t="s">
        <v>1017</v>
      </c>
      <c r="G386">
        <v>2</v>
      </c>
      <c r="H386" s="4">
        <v>2500</v>
      </c>
      <c r="I386" s="4">
        <v>1400</v>
      </c>
      <c r="J386" s="4">
        <v>5000</v>
      </c>
      <c r="K386" t="s">
        <v>1058</v>
      </c>
      <c r="L386" s="5"/>
    </row>
    <row r="387" spans="1:12">
      <c r="A387" t="s">
        <v>223</v>
      </c>
      <c r="B387" s="2">
        <v>45883</v>
      </c>
      <c r="C387" t="s">
        <v>1027</v>
      </c>
      <c r="D387" t="s">
        <v>1011</v>
      </c>
      <c r="E387" t="s">
        <v>1041</v>
      </c>
      <c r="F387" t="s">
        <v>1061</v>
      </c>
      <c r="G387">
        <v>1</v>
      </c>
      <c r="H387" s="4">
        <v>5000</v>
      </c>
      <c r="I387" s="4">
        <v>1500</v>
      </c>
      <c r="J387" s="4">
        <v>5000</v>
      </c>
      <c r="K387" t="s">
        <v>1058</v>
      </c>
      <c r="L387" s="5"/>
    </row>
    <row r="388" spans="1:12">
      <c r="A388" t="s">
        <v>917</v>
      </c>
      <c r="B388" s="2">
        <v>45883</v>
      </c>
      <c r="C388" t="s">
        <v>1027</v>
      </c>
      <c r="D388" t="s">
        <v>1013</v>
      </c>
      <c r="E388" t="s">
        <v>1043</v>
      </c>
      <c r="F388" t="s">
        <v>1018</v>
      </c>
      <c r="G388">
        <v>1</v>
      </c>
      <c r="H388" s="4">
        <v>2500</v>
      </c>
      <c r="I388" s="4">
        <v>600</v>
      </c>
      <c r="J388" s="4">
        <v>2500</v>
      </c>
      <c r="K388" t="s">
        <v>1059</v>
      </c>
      <c r="L388" s="5"/>
    </row>
    <row r="389" spans="1:12">
      <c r="A389" t="s">
        <v>70</v>
      </c>
      <c r="B389" s="2">
        <v>45882</v>
      </c>
      <c r="C389" t="s">
        <v>1025</v>
      </c>
      <c r="D389" t="s">
        <v>1011</v>
      </c>
      <c r="E389" t="s">
        <v>1044</v>
      </c>
      <c r="F389" t="s">
        <v>1063</v>
      </c>
      <c r="G389">
        <v>1</v>
      </c>
      <c r="H389" s="4">
        <v>7000</v>
      </c>
      <c r="I389" s="4">
        <v>2000</v>
      </c>
      <c r="J389" s="4">
        <v>7000</v>
      </c>
      <c r="K389" t="s">
        <v>1058</v>
      </c>
      <c r="L389" s="5"/>
    </row>
    <row r="390" spans="1:12">
      <c r="A390" t="s">
        <v>173</v>
      </c>
      <c r="B390" s="2">
        <v>45882</v>
      </c>
      <c r="C390" t="s">
        <v>1027</v>
      </c>
      <c r="D390" t="s">
        <v>1012</v>
      </c>
      <c r="E390" t="s">
        <v>1043</v>
      </c>
      <c r="F390" t="s">
        <v>1021</v>
      </c>
      <c r="G390">
        <v>1</v>
      </c>
      <c r="H390" s="4">
        <v>6000</v>
      </c>
      <c r="I390" s="4">
        <v>1800</v>
      </c>
      <c r="J390" s="4">
        <v>6000</v>
      </c>
      <c r="K390" t="s">
        <v>1060</v>
      </c>
      <c r="L390" s="5"/>
    </row>
    <row r="391" spans="1:12">
      <c r="A391" t="s">
        <v>317</v>
      </c>
      <c r="B391" s="2">
        <v>45882</v>
      </c>
      <c r="C391" t="s">
        <v>1027</v>
      </c>
      <c r="D391" t="s">
        <v>1012</v>
      </c>
      <c r="E391" t="s">
        <v>1042</v>
      </c>
      <c r="F391" t="s">
        <v>1019</v>
      </c>
      <c r="G391">
        <v>1</v>
      </c>
      <c r="H391" s="4">
        <v>3000</v>
      </c>
      <c r="I391" s="4">
        <v>800</v>
      </c>
      <c r="J391" s="4">
        <v>3000</v>
      </c>
      <c r="K391" t="s">
        <v>1058</v>
      </c>
      <c r="L391" s="5"/>
    </row>
    <row r="392" spans="1:12">
      <c r="A392" t="s">
        <v>542</v>
      </c>
      <c r="B392" s="2">
        <v>45882</v>
      </c>
      <c r="C392" t="s">
        <v>1026</v>
      </c>
      <c r="D392" t="s">
        <v>1011</v>
      </c>
      <c r="E392" t="s">
        <v>1043</v>
      </c>
      <c r="F392" t="s">
        <v>1023</v>
      </c>
      <c r="G392">
        <v>1</v>
      </c>
      <c r="H392" s="4">
        <v>3000</v>
      </c>
      <c r="I392" s="4">
        <v>700</v>
      </c>
      <c r="J392" s="4">
        <v>3000</v>
      </c>
      <c r="K392" t="s">
        <v>1059</v>
      </c>
      <c r="L392" s="5"/>
    </row>
    <row r="393" spans="1:12">
      <c r="A393" t="s">
        <v>584</v>
      </c>
      <c r="B393" s="2">
        <v>45882</v>
      </c>
      <c r="C393" t="s">
        <v>1027</v>
      </c>
      <c r="D393" t="s">
        <v>1013</v>
      </c>
      <c r="E393" t="s">
        <v>1044</v>
      </c>
      <c r="F393" t="s">
        <v>1062</v>
      </c>
      <c r="G393">
        <v>1</v>
      </c>
      <c r="H393" s="4">
        <v>8000</v>
      </c>
      <c r="I393" s="4">
        <v>2500</v>
      </c>
      <c r="J393" s="4">
        <v>8000</v>
      </c>
      <c r="K393" t="s">
        <v>1059</v>
      </c>
      <c r="L393" s="5"/>
    </row>
    <row r="394" spans="1:12">
      <c r="A394" t="s">
        <v>881</v>
      </c>
      <c r="B394" s="2">
        <v>45882</v>
      </c>
      <c r="C394" t="s">
        <v>1026</v>
      </c>
      <c r="D394" t="s">
        <v>1012</v>
      </c>
      <c r="E394" t="s">
        <v>1041</v>
      </c>
      <c r="F394" t="s">
        <v>1017</v>
      </c>
      <c r="G394">
        <v>1</v>
      </c>
      <c r="H394" s="4">
        <v>2500</v>
      </c>
      <c r="I394" s="4">
        <v>700</v>
      </c>
      <c r="J394" s="4">
        <v>2500</v>
      </c>
      <c r="K394" t="s">
        <v>1060</v>
      </c>
      <c r="L394" s="5"/>
    </row>
    <row r="395" spans="1:12">
      <c r="A395" t="s">
        <v>954</v>
      </c>
      <c r="B395" s="2">
        <v>45882</v>
      </c>
      <c r="C395" t="s">
        <v>1027</v>
      </c>
      <c r="D395" t="s">
        <v>1013</v>
      </c>
      <c r="E395" t="s">
        <v>1042</v>
      </c>
      <c r="F395" t="s">
        <v>1015</v>
      </c>
      <c r="G395">
        <v>2</v>
      </c>
      <c r="H395" s="4">
        <v>4000</v>
      </c>
      <c r="I395" s="4">
        <v>2000</v>
      </c>
      <c r="J395" s="4">
        <v>8000</v>
      </c>
      <c r="K395" t="s">
        <v>1060</v>
      </c>
      <c r="L395" s="5"/>
    </row>
    <row r="396" spans="1:12">
      <c r="A396" t="s">
        <v>325</v>
      </c>
      <c r="B396" s="2">
        <v>45881</v>
      </c>
      <c r="C396" t="s">
        <v>1027</v>
      </c>
      <c r="D396" t="s">
        <v>1013</v>
      </c>
      <c r="E396" t="s">
        <v>1043</v>
      </c>
      <c r="F396" t="s">
        <v>1023</v>
      </c>
      <c r="G396">
        <v>1</v>
      </c>
      <c r="H396" s="4">
        <v>3000</v>
      </c>
      <c r="I396" s="4">
        <v>700</v>
      </c>
      <c r="J396" s="4">
        <v>3000</v>
      </c>
      <c r="K396" t="s">
        <v>1058</v>
      </c>
      <c r="L396" s="5"/>
    </row>
    <row r="397" spans="1:12">
      <c r="A397" t="s">
        <v>783</v>
      </c>
      <c r="B397" s="2">
        <v>45880</v>
      </c>
      <c r="C397" t="s">
        <v>1025</v>
      </c>
      <c r="D397" t="s">
        <v>1013</v>
      </c>
      <c r="E397" t="s">
        <v>1042</v>
      </c>
      <c r="F397" t="s">
        <v>1022</v>
      </c>
      <c r="G397">
        <v>1</v>
      </c>
      <c r="H397" s="4">
        <v>5000</v>
      </c>
      <c r="I397" s="4">
        <v>1500</v>
      </c>
      <c r="J397" s="4">
        <v>5000</v>
      </c>
      <c r="K397" t="s">
        <v>1058</v>
      </c>
      <c r="L397" s="5"/>
    </row>
    <row r="398" spans="1:12">
      <c r="A398" t="s">
        <v>376</v>
      </c>
      <c r="B398" s="2">
        <v>45879</v>
      </c>
      <c r="C398" t="s">
        <v>1025</v>
      </c>
      <c r="D398" t="s">
        <v>1013</v>
      </c>
      <c r="E398" t="s">
        <v>1042</v>
      </c>
      <c r="F398" t="s">
        <v>1019</v>
      </c>
      <c r="G398">
        <v>1</v>
      </c>
      <c r="H398" s="4">
        <v>3000</v>
      </c>
      <c r="I398" s="4">
        <v>800</v>
      </c>
      <c r="J398" s="4">
        <v>3000</v>
      </c>
      <c r="K398" t="s">
        <v>1059</v>
      </c>
      <c r="L398" s="5"/>
    </row>
    <row r="399" spans="1:12">
      <c r="A399" t="s">
        <v>815</v>
      </c>
      <c r="B399" s="2">
        <v>45879</v>
      </c>
      <c r="C399" t="s">
        <v>1025</v>
      </c>
      <c r="D399" t="s">
        <v>1011</v>
      </c>
      <c r="E399" t="s">
        <v>1042</v>
      </c>
      <c r="F399" t="s">
        <v>1022</v>
      </c>
      <c r="G399">
        <v>1</v>
      </c>
      <c r="H399" s="4">
        <v>5000</v>
      </c>
      <c r="I399" s="4">
        <v>1500</v>
      </c>
      <c r="J399" s="4">
        <v>5000</v>
      </c>
      <c r="K399" t="s">
        <v>1059</v>
      </c>
      <c r="L399" s="5"/>
    </row>
    <row r="400" spans="1:12">
      <c r="A400" t="s">
        <v>877</v>
      </c>
      <c r="B400" s="2">
        <v>45879</v>
      </c>
      <c r="C400" t="s">
        <v>1026</v>
      </c>
      <c r="D400" t="s">
        <v>1013</v>
      </c>
      <c r="E400" t="s">
        <v>1042</v>
      </c>
      <c r="F400" t="s">
        <v>1015</v>
      </c>
      <c r="G400">
        <v>2</v>
      </c>
      <c r="H400" s="4">
        <v>4000</v>
      </c>
      <c r="I400" s="4">
        <v>2000</v>
      </c>
      <c r="J400" s="4">
        <v>8000</v>
      </c>
      <c r="K400" t="s">
        <v>1058</v>
      </c>
      <c r="L400" s="5"/>
    </row>
    <row r="401" spans="1:12">
      <c r="A401" t="s">
        <v>80</v>
      </c>
      <c r="B401" s="2">
        <v>45878</v>
      </c>
      <c r="C401" t="s">
        <v>1027</v>
      </c>
      <c r="D401" t="s">
        <v>1013</v>
      </c>
      <c r="E401" t="s">
        <v>1043</v>
      </c>
      <c r="F401" t="s">
        <v>1018</v>
      </c>
      <c r="G401">
        <v>1</v>
      </c>
      <c r="H401" s="4">
        <v>2500</v>
      </c>
      <c r="I401" s="4">
        <v>600</v>
      </c>
      <c r="J401" s="4">
        <v>2500</v>
      </c>
      <c r="K401" t="s">
        <v>1058</v>
      </c>
      <c r="L401" s="5"/>
    </row>
    <row r="402" spans="1:12">
      <c r="A402" t="s">
        <v>100</v>
      </c>
      <c r="B402" s="2">
        <v>45878</v>
      </c>
      <c r="C402" t="s">
        <v>1025</v>
      </c>
      <c r="D402" t="s">
        <v>1011</v>
      </c>
      <c r="E402" t="s">
        <v>1044</v>
      </c>
      <c r="F402" t="s">
        <v>1063</v>
      </c>
      <c r="G402">
        <v>1</v>
      </c>
      <c r="H402" s="4">
        <v>7000</v>
      </c>
      <c r="I402" s="4">
        <v>2000</v>
      </c>
      <c r="J402" s="4">
        <v>7000</v>
      </c>
      <c r="K402" t="s">
        <v>1060</v>
      </c>
      <c r="L402" s="5"/>
    </row>
    <row r="403" spans="1:12">
      <c r="A403" t="s">
        <v>258</v>
      </c>
      <c r="B403" s="2">
        <v>45878</v>
      </c>
      <c r="C403" t="s">
        <v>1026</v>
      </c>
      <c r="D403" t="s">
        <v>1013</v>
      </c>
      <c r="E403" t="s">
        <v>1042</v>
      </c>
      <c r="F403" t="s">
        <v>1015</v>
      </c>
      <c r="G403">
        <v>1</v>
      </c>
      <c r="H403" s="4">
        <v>4000</v>
      </c>
      <c r="I403" s="4">
        <v>1000</v>
      </c>
      <c r="J403" s="4">
        <v>4000</v>
      </c>
      <c r="K403" t="s">
        <v>1058</v>
      </c>
      <c r="L403" s="5"/>
    </row>
    <row r="404" spans="1:12">
      <c r="A404" t="s">
        <v>277</v>
      </c>
      <c r="B404" s="2">
        <v>45878</v>
      </c>
      <c r="C404" t="s">
        <v>1027</v>
      </c>
      <c r="D404" t="s">
        <v>1012</v>
      </c>
      <c r="E404" t="s">
        <v>1041</v>
      </c>
      <c r="F404" t="s">
        <v>1017</v>
      </c>
      <c r="G404">
        <v>1</v>
      </c>
      <c r="H404" s="4">
        <v>2500</v>
      </c>
      <c r="I404" s="4">
        <v>700</v>
      </c>
      <c r="J404" s="4">
        <v>2500</v>
      </c>
      <c r="K404" t="s">
        <v>1060</v>
      </c>
      <c r="L404" s="5"/>
    </row>
    <row r="405" spans="1:12">
      <c r="A405" t="s">
        <v>857</v>
      </c>
      <c r="B405" s="2">
        <v>45877</v>
      </c>
      <c r="C405" t="s">
        <v>1026</v>
      </c>
      <c r="D405" t="s">
        <v>1011</v>
      </c>
      <c r="E405" t="s">
        <v>1044</v>
      </c>
      <c r="F405" t="s">
        <v>1020</v>
      </c>
      <c r="G405">
        <v>1</v>
      </c>
      <c r="H405" s="4">
        <v>7500</v>
      </c>
      <c r="I405" s="4">
        <v>2200</v>
      </c>
      <c r="J405" s="4">
        <v>7500</v>
      </c>
      <c r="K405" t="s">
        <v>1058</v>
      </c>
      <c r="L405" s="5"/>
    </row>
    <row r="406" spans="1:12">
      <c r="A406" t="s">
        <v>253</v>
      </c>
      <c r="B406" s="2">
        <v>45876</v>
      </c>
      <c r="C406" t="s">
        <v>1025</v>
      </c>
      <c r="D406" t="s">
        <v>1013</v>
      </c>
      <c r="E406" t="s">
        <v>1043</v>
      </c>
      <c r="F406" t="s">
        <v>1023</v>
      </c>
      <c r="G406">
        <v>2</v>
      </c>
      <c r="H406" s="4">
        <v>3000</v>
      </c>
      <c r="I406" s="4">
        <v>1400</v>
      </c>
      <c r="J406" s="4">
        <v>6000</v>
      </c>
      <c r="K406" t="s">
        <v>1058</v>
      </c>
      <c r="L406" s="5"/>
    </row>
    <row r="407" spans="1:12">
      <c r="A407" t="s">
        <v>440</v>
      </c>
      <c r="B407" s="2">
        <v>45876</v>
      </c>
      <c r="C407" t="s">
        <v>1025</v>
      </c>
      <c r="D407" t="s">
        <v>1012</v>
      </c>
      <c r="E407" t="s">
        <v>1041</v>
      </c>
      <c r="F407" t="s">
        <v>1016</v>
      </c>
      <c r="G407">
        <v>2</v>
      </c>
      <c r="H407" s="4">
        <v>3000</v>
      </c>
      <c r="I407" s="4">
        <v>1600</v>
      </c>
      <c r="J407" s="4">
        <v>6000</v>
      </c>
      <c r="K407" t="s">
        <v>1059</v>
      </c>
      <c r="L407" s="5"/>
    </row>
    <row r="408" spans="1:12">
      <c r="A408" t="s">
        <v>150</v>
      </c>
      <c r="B408" s="2">
        <v>45875</v>
      </c>
      <c r="C408" t="s">
        <v>1025</v>
      </c>
      <c r="D408" t="s">
        <v>1011</v>
      </c>
      <c r="E408" t="s">
        <v>1043</v>
      </c>
      <c r="F408" t="s">
        <v>1023</v>
      </c>
      <c r="G408">
        <v>1</v>
      </c>
      <c r="H408" s="4">
        <v>3000</v>
      </c>
      <c r="I408" s="4">
        <v>700</v>
      </c>
      <c r="J408" s="4">
        <v>3000</v>
      </c>
      <c r="K408" t="s">
        <v>1058</v>
      </c>
      <c r="L408" s="5"/>
    </row>
    <row r="409" spans="1:12">
      <c r="A409" t="s">
        <v>936</v>
      </c>
      <c r="B409" s="2">
        <v>45875</v>
      </c>
      <c r="C409" t="s">
        <v>1027</v>
      </c>
      <c r="D409" t="s">
        <v>1012</v>
      </c>
      <c r="E409" t="s">
        <v>1043</v>
      </c>
      <c r="F409" t="s">
        <v>1021</v>
      </c>
      <c r="G409">
        <v>1</v>
      </c>
      <c r="H409" s="4">
        <v>6000</v>
      </c>
      <c r="I409" s="4">
        <v>1800</v>
      </c>
      <c r="J409" s="4">
        <v>6000</v>
      </c>
      <c r="K409" t="s">
        <v>1058</v>
      </c>
      <c r="L409" s="5"/>
    </row>
    <row r="410" spans="1:12">
      <c r="A410" t="s">
        <v>625</v>
      </c>
      <c r="B410" s="2">
        <v>45874</v>
      </c>
      <c r="C410" t="s">
        <v>1025</v>
      </c>
      <c r="D410" t="s">
        <v>1012</v>
      </c>
      <c r="E410" t="s">
        <v>1043</v>
      </c>
      <c r="F410" t="s">
        <v>1018</v>
      </c>
      <c r="G410">
        <v>2</v>
      </c>
      <c r="H410" s="4">
        <v>2500</v>
      </c>
      <c r="I410" s="4">
        <v>1200</v>
      </c>
      <c r="J410" s="4">
        <v>5000</v>
      </c>
      <c r="K410" t="s">
        <v>1059</v>
      </c>
      <c r="L410" s="5"/>
    </row>
    <row r="411" spans="1:12">
      <c r="A411" t="s">
        <v>753</v>
      </c>
      <c r="B411" s="2">
        <v>45874</v>
      </c>
      <c r="C411" t="s">
        <v>1026</v>
      </c>
      <c r="D411" t="s">
        <v>1012</v>
      </c>
      <c r="E411" t="s">
        <v>1042</v>
      </c>
      <c r="F411" t="s">
        <v>1022</v>
      </c>
      <c r="G411">
        <v>1</v>
      </c>
      <c r="H411" s="4">
        <v>5000</v>
      </c>
      <c r="I411" s="4">
        <v>1500</v>
      </c>
      <c r="J411" s="4">
        <v>5000</v>
      </c>
      <c r="K411" t="s">
        <v>1058</v>
      </c>
      <c r="L411" s="5"/>
    </row>
    <row r="412" spans="1:12">
      <c r="A412" t="s">
        <v>792</v>
      </c>
      <c r="B412" s="2">
        <v>45873</v>
      </c>
      <c r="C412" t="s">
        <v>1025</v>
      </c>
      <c r="D412" t="s">
        <v>1013</v>
      </c>
      <c r="E412" t="s">
        <v>1041</v>
      </c>
      <c r="F412" t="s">
        <v>1061</v>
      </c>
      <c r="G412">
        <v>1</v>
      </c>
      <c r="H412" s="4">
        <v>5000</v>
      </c>
      <c r="I412" s="4">
        <v>1500</v>
      </c>
      <c r="J412" s="4">
        <v>5000</v>
      </c>
      <c r="K412" t="s">
        <v>1060</v>
      </c>
      <c r="L412" s="5"/>
    </row>
    <row r="413" spans="1:12">
      <c r="A413" t="s">
        <v>1000</v>
      </c>
      <c r="B413" s="2">
        <v>45873</v>
      </c>
      <c r="C413" t="s">
        <v>1025</v>
      </c>
      <c r="D413" t="s">
        <v>1011</v>
      </c>
      <c r="E413" t="s">
        <v>1042</v>
      </c>
      <c r="F413" t="s">
        <v>1019</v>
      </c>
      <c r="G413">
        <v>1</v>
      </c>
      <c r="H413" s="4">
        <v>3000</v>
      </c>
      <c r="I413" s="4">
        <v>800</v>
      </c>
      <c r="J413" s="4">
        <v>3000</v>
      </c>
      <c r="K413" t="s">
        <v>1060</v>
      </c>
      <c r="L413" s="5"/>
    </row>
    <row r="414" spans="1:12">
      <c r="A414" t="s">
        <v>480</v>
      </c>
      <c r="B414" s="2">
        <v>45871</v>
      </c>
      <c r="C414" t="s">
        <v>1025</v>
      </c>
      <c r="D414" t="s">
        <v>1011</v>
      </c>
      <c r="E414" t="s">
        <v>1043</v>
      </c>
      <c r="F414" t="s">
        <v>1018</v>
      </c>
      <c r="G414">
        <v>2</v>
      </c>
      <c r="H414" s="4">
        <v>2500</v>
      </c>
      <c r="I414" s="4">
        <v>1200</v>
      </c>
      <c r="J414" s="4">
        <v>5000</v>
      </c>
      <c r="K414" t="s">
        <v>1059</v>
      </c>
      <c r="L414" s="5"/>
    </row>
    <row r="415" spans="1:12">
      <c r="A415" t="s">
        <v>117</v>
      </c>
      <c r="B415" s="2">
        <v>45870</v>
      </c>
      <c r="C415" t="s">
        <v>1027</v>
      </c>
      <c r="D415" t="s">
        <v>1013</v>
      </c>
      <c r="E415" t="s">
        <v>1043</v>
      </c>
      <c r="F415" t="s">
        <v>1018</v>
      </c>
      <c r="G415">
        <v>2</v>
      </c>
      <c r="H415" s="4">
        <v>2500</v>
      </c>
      <c r="I415" s="4">
        <v>1200</v>
      </c>
      <c r="J415" s="4">
        <v>5000</v>
      </c>
      <c r="K415" t="s">
        <v>1058</v>
      </c>
      <c r="L415" s="5"/>
    </row>
    <row r="416" spans="1:12">
      <c r="A416" t="s">
        <v>276</v>
      </c>
      <c r="B416" s="2">
        <v>45870</v>
      </c>
      <c r="C416" t="s">
        <v>1026</v>
      </c>
      <c r="D416" t="s">
        <v>1013</v>
      </c>
      <c r="E416" t="s">
        <v>1043</v>
      </c>
      <c r="F416" t="s">
        <v>1023</v>
      </c>
      <c r="G416">
        <v>2</v>
      </c>
      <c r="H416" s="4">
        <v>3000</v>
      </c>
      <c r="I416" s="4">
        <v>1400</v>
      </c>
      <c r="J416" s="4">
        <v>6000</v>
      </c>
      <c r="K416" t="s">
        <v>1060</v>
      </c>
      <c r="L416" s="5"/>
    </row>
    <row r="417" spans="1:12">
      <c r="A417" t="s">
        <v>326</v>
      </c>
      <c r="B417" s="2">
        <v>45870</v>
      </c>
      <c r="C417" t="s">
        <v>1027</v>
      </c>
      <c r="D417" t="s">
        <v>1012</v>
      </c>
      <c r="E417" t="s">
        <v>1044</v>
      </c>
      <c r="F417" t="s">
        <v>1062</v>
      </c>
      <c r="G417">
        <v>1</v>
      </c>
      <c r="H417" s="4">
        <v>8000</v>
      </c>
      <c r="I417" s="4">
        <v>2500</v>
      </c>
      <c r="J417" s="4">
        <v>8000</v>
      </c>
      <c r="K417" t="s">
        <v>1060</v>
      </c>
      <c r="L417" s="5"/>
    </row>
    <row r="418" spans="1:12">
      <c r="A418" t="s">
        <v>449</v>
      </c>
      <c r="B418" s="2">
        <v>45870</v>
      </c>
      <c r="C418" t="s">
        <v>1025</v>
      </c>
      <c r="D418" t="s">
        <v>1011</v>
      </c>
      <c r="E418" t="s">
        <v>1042</v>
      </c>
      <c r="F418" t="s">
        <v>1022</v>
      </c>
      <c r="G418">
        <v>1</v>
      </c>
      <c r="H418" s="4">
        <v>5000</v>
      </c>
      <c r="I418" s="4">
        <v>1500</v>
      </c>
      <c r="J418" s="4">
        <v>5000</v>
      </c>
      <c r="K418" t="s">
        <v>1058</v>
      </c>
      <c r="L418" s="5"/>
    </row>
    <row r="419" spans="1:12">
      <c r="A419" t="s">
        <v>862</v>
      </c>
      <c r="B419" s="2">
        <v>45870</v>
      </c>
      <c r="C419" t="s">
        <v>1025</v>
      </c>
      <c r="D419" t="s">
        <v>1011</v>
      </c>
      <c r="E419" t="s">
        <v>1041</v>
      </c>
      <c r="F419" t="s">
        <v>1017</v>
      </c>
      <c r="G419">
        <v>1</v>
      </c>
      <c r="H419" s="4">
        <v>2500</v>
      </c>
      <c r="I419" s="4">
        <v>700</v>
      </c>
      <c r="J419" s="4">
        <v>2500</v>
      </c>
      <c r="K419" t="s">
        <v>1058</v>
      </c>
      <c r="L419" s="5"/>
    </row>
    <row r="420" spans="1:12">
      <c r="A420" t="s">
        <v>415</v>
      </c>
      <c r="B420" s="2">
        <v>45869</v>
      </c>
      <c r="C420" t="s">
        <v>1025</v>
      </c>
      <c r="D420" t="s">
        <v>1013</v>
      </c>
      <c r="E420" t="s">
        <v>1044</v>
      </c>
      <c r="F420" t="s">
        <v>1020</v>
      </c>
      <c r="G420">
        <v>1</v>
      </c>
      <c r="H420" s="4">
        <v>7500</v>
      </c>
      <c r="I420" s="4">
        <v>2200</v>
      </c>
      <c r="J420" s="4">
        <v>7500</v>
      </c>
      <c r="K420" t="s">
        <v>1058</v>
      </c>
      <c r="L420" s="5"/>
    </row>
    <row r="421" spans="1:12">
      <c r="A421" t="s">
        <v>529</v>
      </c>
      <c r="B421" s="2">
        <v>45869</v>
      </c>
      <c r="C421" t="s">
        <v>1026</v>
      </c>
      <c r="D421" t="s">
        <v>1013</v>
      </c>
      <c r="E421" t="s">
        <v>1041</v>
      </c>
      <c r="F421" t="s">
        <v>1061</v>
      </c>
      <c r="G421">
        <v>1</v>
      </c>
      <c r="H421" s="4">
        <v>5000</v>
      </c>
      <c r="I421" s="4">
        <v>1500</v>
      </c>
      <c r="J421" s="4">
        <v>5000</v>
      </c>
      <c r="K421" t="s">
        <v>1060</v>
      </c>
      <c r="L421" s="5"/>
    </row>
    <row r="422" spans="1:12">
      <c r="A422" t="s">
        <v>1004</v>
      </c>
      <c r="B422" s="2">
        <v>45869</v>
      </c>
      <c r="C422" t="s">
        <v>1027</v>
      </c>
      <c r="D422" t="s">
        <v>1013</v>
      </c>
      <c r="E422" t="s">
        <v>1043</v>
      </c>
      <c r="F422" t="s">
        <v>1021</v>
      </c>
      <c r="G422">
        <v>2</v>
      </c>
      <c r="H422" s="4">
        <v>6000</v>
      </c>
      <c r="I422" s="4">
        <v>3600</v>
      </c>
      <c r="J422" s="4">
        <v>12000</v>
      </c>
      <c r="K422" t="s">
        <v>1059</v>
      </c>
      <c r="L422" s="5"/>
    </row>
    <row r="423" spans="1:12">
      <c r="A423" t="s">
        <v>732</v>
      </c>
      <c r="B423" s="2">
        <v>45868</v>
      </c>
      <c r="C423" t="s">
        <v>1026</v>
      </c>
      <c r="D423" t="s">
        <v>1012</v>
      </c>
      <c r="E423" t="s">
        <v>1043</v>
      </c>
      <c r="F423" t="s">
        <v>1018</v>
      </c>
      <c r="G423">
        <v>1</v>
      </c>
      <c r="H423" s="4">
        <v>2500</v>
      </c>
      <c r="I423" s="4">
        <v>600</v>
      </c>
      <c r="J423" s="4">
        <v>2500</v>
      </c>
      <c r="K423" t="s">
        <v>1060</v>
      </c>
      <c r="L423" s="5"/>
    </row>
    <row r="424" spans="1:12">
      <c r="A424" t="s">
        <v>812</v>
      </c>
      <c r="B424" s="2">
        <v>45868</v>
      </c>
      <c r="C424" t="s">
        <v>1026</v>
      </c>
      <c r="D424" t="s">
        <v>1013</v>
      </c>
      <c r="E424" t="s">
        <v>1043</v>
      </c>
      <c r="F424" t="s">
        <v>1023</v>
      </c>
      <c r="G424">
        <v>1</v>
      </c>
      <c r="H424" s="4">
        <v>3000</v>
      </c>
      <c r="I424" s="4">
        <v>700</v>
      </c>
      <c r="J424" s="4">
        <v>3000</v>
      </c>
      <c r="K424" t="s">
        <v>1059</v>
      </c>
      <c r="L424" s="5"/>
    </row>
    <row r="425" spans="1:12">
      <c r="A425" t="s">
        <v>203</v>
      </c>
      <c r="B425" s="2">
        <v>45867</v>
      </c>
      <c r="C425" t="s">
        <v>1025</v>
      </c>
      <c r="D425" t="s">
        <v>1013</v>
      </c>
      <c r="E425" t="s">
        <v>1042</v>
      </c>
      <c r="F425" t="s">
        <v>1022</v>
      </c>
      <c r="G425">
        <v>1</v>
      </c>
      <c r="H425" s="4">
        <v>5000</v>
      </c>
      <c r="I425" s="4">
        <v>1500</v>
      </c>
      <c r="J425" s="4">
        <v>5000</v>
      </c>
      <c r="K425" t="s">
        <v>1059</v>
      </c>
      <c r="L425" s="5"/>
    </row>
    <row r="426" spans="1:12">
      <c r="A426" t="s">
        <v>373</v>
      </c>
      <c r="B426" s="2">
        <v>45867</v>
      </c>
      <c r="C426" t="s">
        <v>1025</v>
      </c>
      <c r="D426" t="s">
        <v>1013</v>
      </c>
      <c r="E426" t="s">
        <v>1043</v>
      </c>
      <c r="F426" t="s">
        <v>1023</v>
      </c>
      <c r="G426">
        <v>2</v>
      </c>
      <c r="H426" s="4">
        <v>3000</v>
      </c>
      <c r="I426" s="4">
        <v>1400</v>
      </c>
      <c r="J426" s="4">
        <v>6000</v>
      </c>
      <c r="K426" t="s">
        <v>1059</v>
      </c>
      <c r="L426" s="5"/>
    </row>
    <row r="427" spans="1:12">
      <c r="A427" t="s">
        <v>576</v>
      </c>
      <c r="B427" s="2">
        <v>45867</v>
      </c>
      <c r="C427" t="s">
        <v>1025</v>
      </c>
      <c r="D427" t="s">
        <v>1012</v>
      </c>
      <c r="E427" t="s">
        <v>1043</v>
      </c>
      <c r="F427" t="s">
        <v>1018</v>
      </c>
      <c r="G427">
        <v>2</v>
      </c>
      <c r="H427" s="4">
        <v>2500</v>
      </c>
      <c r="I427" s="4">
        <v>1200</v>
      </c>
      <c r="J427" s="4">
        <v>5000</v>
      </c>
      <c r="K427" t="s">
        <v>1058</v>
      </c>
      <c r="L427" s="5"/>
    </row>
    <row r="428" spans="1:12">
      <c r="A428" t="s">
        <v>648</v>
      </c>
      <c r="B428" s="2">
        <v>45867</v>
      </c>
      <c r="C428" t="s">
        <v>1027</v>
      </c>
      <c r="D428" t="s">
        <v>1013</v>
      </c>
      <c r="E428" t="s">
        <v>1041</v>
      </c>
      <c r="F428" t="s">
        <v>1016</v>
      </c>
      <c r="G428">
        <v>1</v>
      </c>
      <c r="H428" s="4">
        <v>3000</v>
      </c>
      <c r="I428" s="4">
        <v>800</v>
      </c>
      <c r="J428" s="4">
        <v>3000</v>
      </c>
      <c r="K428" t="s">
        <v>1060</v>
      </c>
      <c r="L428" s="5"/>
    </row>
    <row r="429" spans="1:12">
      <c r="A429" t="s">
        <v>830</v>
      </c>
      <c r="B429" s="2">
        <v>45867</v>
      </c>
      <c r="C429" t="s">
        <v>1027</v>
      </c>
      <c r="D429" t="s">
        <v>1012</v>
      </c>
      <c r="E429" t="s">
        <v>1043</v>
      </c>
      <c r="F429" t="s">
        <v>1023</v>
      </c>
      <c r="G429">
        <v>1</v>
      </c>
      <c r="H429" s="4">
        <v>3000</v>
      </c>
      <c r="I429" s="4">
        <v>700</v>
      </c>
      <c r="J429" s="4">
        <v>3000</v>
      </c>
      <c r="K429" t="s">
        <v>1060</v>
      </c>
      <c r="L429" s="5"/>
    </row>
    <row r="430" spans="1:12">
      <c r="A430" t="s">
        <v>146</v>
      </c>
      <c r="B430" s="2">
        <v>45866</v>
      </c>
      <c r="C430" t="s">
        <v>1026</v>
      </c>
      <c r="D430" t="s">
        <v>1011</v>
      </c>
      <c r="E430" t="s">
        <v>1041</v>
      </c>
      <c r="F430" t="s">
        <v>1017</v>
      </c>
      <c r="G430">
        <v>1</v>
      </c>
      <c r="H430" s="4">
        <v>2500</v>
      </c>
      <c r="I430" s="4">
        <v>700</v>
      </c>
      <c r="J430" s="4">
        <v>2500</v>
      </c>
      <c r="K430" t="s">
        <v>1059</v>
      </c>
      <c r="L430" s="5"/>
    </row>
    <row r="431" spans="1:12">
      <c r="A431" t="s">
        <v>430</v>
      </c>
      <c r="B431" s="2">
        <v>45866</v>
      </c>
      <c r="C431" t="s">
        <v>1025</v>
      </c>
      <c r="D431" t="s">
        <v>1012</v>
      </c>
      <c r="E431" t="s">
        <v>1043</v>
      </c>
      <c r="F431" t="s">
        <v>1018</v>
      </c>
      <c r="G431">
        <v>1</v>
      </c>
      <c r="H431" s="4">
        <v>2500</v>
      </c>
      <c r="I431" s="4">
        <v>600</v>
      </c>
      <c r="J431" s="4">
        <v>2500</v>
      </c>
      <c r="K431" t="s">
        <v>1058</v>
      </c>
      <c r="L431" s="5"/>
    </row>
    <row r="432" spans="1:12">
      <c r="A432" t="s">
        <v>659</v>
      </c>
      <c r="B432" s="2">
        <v>45866</v>
      </c>
      <c r="C432" t="s">
        <v>1027</v>
      </c>
      <c r="D432" t="s">
        <v>1011</v>
      </c>
      <c r="E432" t="s">
        <v>1043</v>
      </c>
      <c r="F432" t="s">
        <v>1023</v>
      </c>
      <c r="G432">
        <v>1</v>
      </c>
      <c r="H432" s="4">
        <v>3000</v>
      </c>
      <c r="I432" s="4">
        <v>700</v>
      </c>
      <c r="J432" s="4">
        <v>3000</v>
      </c>
      <c r="K432" t="s">
        <v>1058</v>
      </c>
      <c r="L432" s="5"/>
    </row>
    <row r="433" spans="1:12">
      <c r="A433" t="s">
        <v>99</v>
      </c>
      <c r="B433" s="2">
        <v>45865</v>
      </c>
      <c r="C433" t="s">
        <v>1025</v>
      </c>
      <c r="D433" t="s">
        <v>1013</v>
      </c>
      <c r="E433" t="s">
        <v>1043</v>
      </c>
      <c r="F433" t="s">
        <v>1021</v>
      </c>
      <c r="G433">
        <v>1</v>
      </c>
      <c r="H433" s="4">
        <v>6000</v>
      </c>
      <c r="I433" s="4">
        <v>1800</v>
      </c>
      <c r="J433" s="4">
        <v>6000</v>
      </c>
      <c r="K433" t="s">
        <v>1058</v>
      </c>
      <c r="L433" s="5"/>
    </row>
    <row r="434" spans="1:12">
      <c r="A434" t="s">
        <v>52</v>
      </c>
      <c r="B434" s="2">
        <v>45864</v>
      </c>
      <c r="C434" t="s">
        <v>1025</v>
      </c>
      <c r="D434" t="s">
        <v>1012</v>
      </c>
      <c r="E434" t="s">
        <v>1041</v>
      </c>
      <c r="F434" t="s">
        <v>1017</v>
      </c>
      <c r="G434">
        <v>1</v>
      </c>
      <c r="H434" s="4">
        <v>2500</v>
      </c>
      <c r="I434" s="4">
        <v>700</v>
      </c>
      <c r="J434" s="4">
        <v>2500</v>
      </c>
      <c r="K434" t="s">
        <v>1059</v>
      </c>
      <c r="L434" s="5"/>
    </row>
    <row r="435" spans="1:12">
      <c r="A435" t="s">
        <v>593</v>
      </c>
      <c r="B435" s="2">
        <v>45864</v>
      </c>
      <c r="C435" t="s">
        <v>1025</v>
      </c>
      <c r="D435" t="s">
        <v>1011</v>
      </c>
      <c r="E435" t="s">
        <v>1041</v>
      </c>
      <c r="F435" t="s">
        <v>1017</v>
      </c>
      <c r="G435">
        <v>1</v>
      </c>
      <c r="H435" s="4">
        <v>2500</v>
      </c>
      <c r="I435" s="4">
        <v>700</v>
      </c>
      <c r="J435" s="4">
        <v>2500</v>
      </c>
      <c r="K435" t="s">
        <v>1058</v>
      </c>
      <c r="L435" s="5"/>
    </row>
    <row r="436" spans="1:12">
      <c r="A436" t="s">
        <v>777</v>
      </c>
      <c r="B436" s="2">
        <v>45864</v>
      </c>
      <c r="C436" t="s">
        <v>1026</v>
      </c>
      <c r="D436" t="s">
        <v>1012</v>
      </c>
      <c r="E436" t="s">
        <v>1044</v>
      </c>
      <c r="F436" t="s">
        <v>1020</v>
      </c>
      <c r="G436">
        <v>2</v>
      </c>
      <c r="H436" s="4">
        <v>7500</v>
      </c>
      <c r="I436" s="4">
        <v>4400</v>
      </c>
      <c r="J436" s="4">
        <v>15000</v>
      </c>
      <c r="K436" t="s">
        <v>1058</v>
      </c>
      <c r="L436" s="5"/>
    </row>
    <row r="437" spans="1:12">
      <c r="A437" t="s">
        <v>820</v>
      </c>
      <c r="B437" s="2">
        <v>45864</v>
      </c>
      <c r="C437" t="s">
        <v>1027</v>
      </c>
      <c r="D437" t="s">
        <v>1013</v>
      </c>
      <c r="E437" t="s">
        <v>1043</v>
      </c>
      <c r="F437" t="s">
        <v>1018</v>
      </c>
      <c r="G437">
        <v>2</v>
      </c>
      <c r="H437" s="4">
        <v>2500</v>
      </c>
      <c r="I437" s="4">
        <v>1200</v>
      </c>
      <c r="J437" s="4">
        <v>5000</v>
      </c>
      <c r="K437" t="s">
        <v>1058</v>
      </c>
      <c r="L437" s="5"/>
    </row>
    <row r="438" spans="1:12">
      <c r="A438" t="s">
        <v>962</v>
      </c>
      <c r="B438" s="2">
        <v>45864</v>
      </c>
      <c r="C438" t="s">
        <v>1025</v>
      </c>
      <c r="D438" t="s">
        <v>1013</v>
      </c>
      <c r="E438" t="s">
        <v>1044</v>
      </c>
      <c r="F438" t="s">
        <v>1014</v>
      </c>
      <c r="G438">
        <v>2</v>
      </c>
      <c r="H438" s="4">
        <v>2500</v>
      </c>
      <c r="I438" s="4">
        <v>1000</v>
      </c>
      <c r="J438" s="4">
        <v>5000</v>
      </c>
      <c r="K438" t="s">
        <v>1058</v>
      </c>
      <c r="L438" s="5"/>
    </row>
    <row r="439" spans="1:12">
      <c r="A439" t="s">
        <v>399</v>
      </c>
      <c r="B439" s="2">
        <v>45863</v>
      </c>
      <c r="C439" t="s">
        <v>1027</v>
      </c>
      <c r="D439" t="s">
        <v>1011</v>
      </c>
      <c r="E439" t="s">
        <v>1044</v>
      </c>
      <c r="F439" t="s">
        <v>1062</v>
      </c>
      <c r="G439">
        <v>1</v>
      </c>
      <c r="H439" s="4">
        <v>8000</v>
      </c>
      <c r="I439" s="4">
        <v>2500</v>
      </c>
      <c r="J439" s="4">
        <v>8000</v>
      </c>
      <c r="K439" t="s">
        <v>1060</v>
      </c>
      <c r="L439" s="5"/>
    </row>
    <row r="440" spans="1:12">
      <c r="A440" t="s">
        <v>43</v>
      </c>
      <c r="B440" s="2">
        <v>45862</v>
      </c>
      <c r="C440" t="s">
        <v>1025</v>
      </c>
      <c r="D440" t="s">
        <v>1011</v>
      </c>
      <c r="E440" t="s">
        <v>1044</v>
      </c>
      <c r="F440" t="s">
        <v>1014</v>
      </c>
      <c r="G440">
        <v>1</v>
      </c>
      <c r="H440" s="4">
        <v>2500</v>
      </c>
      <c r="I440" s="4">
        <v>500</v>
      </c>
      <c r="J440" s="4">
        <v>2500</v>
      </c>
      <c r="K440" t="s">
        <v>1058</v>
      </c>
      <c r="L440" s="5"/>
    </row>
    <row r="441" spans="1:12">
      <c r="A441" t="s">
        <v>259</v>
      </c>
      <c r="B441" s="2">
        <v>45862</v>
      </c>
      <c r="C441" t="s">
        <v>1026</v>
      </c>
      <c r="D441" t="s">
        <v>1011</v>
      </c>
      <c r="E441" t="s">
        <v>1044</v>
      </c>
      <c r="F441" t="s">
        <v>1062</v>
      </c>
      <c r="G441">
        <v>2</v>
      </c>
      <c r="H441" s="4">
        <v>8000</v>
      </c>
      <c r="I441" s="4">
        <v>5000</v>
      </c>
      <c r="J441" s="4">
        <v>16000</v>
      </c>
      <c r="K441" t="s">
        <v>1059</v>
      </c>
      <c r="L441" s="5"/>
    </row>
    <row r="442" spans="1:12">
      <c r="A442" t="s">
        <v>241</v>
      </c>
      <c r="B442" s="2">
        <v>45861</v>
      </c>
      <c r="C442" t="s">
        <v>1026</v>
      </c>
      <c r="D442" t="s">
        <v>1013</v>
      </c>
      <c r="E442" t="s">
        <v>1044</v>
      </c>
      <c r="F442" t="s">
        <v>1062</v>
      </c>
      <c r="G442">
        <v>1</v>
      </c>
      <c r="H442" s="4">
        <v>8000</v>
      </c>
      <c r="I442" s="4">
        <v>2500</v>
      </c>
      <c r="J442" s="4">
        <v>8000</v>
      </c>
      <c r="K442" t="s">
        <v>1059</v>
      </c>
      <c r="L442" s="5"/>
    </row>
    <row r="443" spans="1:12">
      <c r="A443" t="s">
        <v>992</v>
      </c>
      <c r="B443" s="2">
        <v>45861</v>
      </c>
      <c r="C443" t="s">
        <v>1027</v>
      </c>
      <c r="D443" t="s">
        <v>1011</v>
      </c>
      <c r="E443" t="s">
        <v>1043</v>
      </c>
      <c r="F443" t="s">
        <v>1021</v>
      </c>
      <c r="G443">
        <v>1</v>
      </c>
      <c r="H443" s="4">
        <v>6000</v>
      </c>
      <c r="I443" s="4">
        <v>1800</v>
      </c>
      <c r="J443" s="4">
        <v>6000</v>
      </c>
      <c r="K443" t="s">
        <v>1059</v>
      </c>
      <c r="L443" s="5"/>
    </row>
    <row r="444" spans="1:12">
      <c r="A444" t="s">
        <v>66</v>
      </c>
      <c r="B444" s="2">
        <v>45860</v>
      </c>
      <c r="C444" t="s">
        <v>1027</v>
      </c>
      <c r="D444" t="s">
        <v>1011</v>
      </c>
      <c r="E444" t="s">
        <v>1044</v>
      </c>
      <c r="F444" t="s">
        <v>1014</v>
      </c>
      <c r="G444">
        <v>1</v>
      </c>
      <c r="H444" s="4">
        <v>2500</v>
      </c>
      <c r="I444" s="4">
        <v>500</v>
      </c>
      <c r="J444" s="4">
        <v>2500</v>
      </c>
      <c r="K444" t="s">
        <v>1060</v>
      </c>
      <c r="L444" s="5"/>
    </row>
    <row r="445" spans="1:12">
      <c r="A445" t="s">
        <v>423</v>
      </c>
      <c r="B445" s="2">
        <v>45860</v>
      </c>
      <c r="C445" t="s">
        <v>1026</v>
      </c>
      <c r="D445" t="s">
        <v>1013</v>
      </c>
      <c r="E445" t="s">
        <v>1043</v>
      </c>
      <c r="F445" t="s">
        <v>1018</v>
      </c>
      <c r="G445">
        <v>2</v>
      </c>
      <c r="H445" s="4">
        <v>2500</v>
      </c>
      <c r="I445" s="4">
        <v>1200</v>
      </c>
      <c r="J445" s="4">
        <v>5000</v>
      </c>
      <c r="K445" t="s">
        <v>1058</v>
      </c>
      <c r="L445" s="5"/>
    </row>
    <row r="446" spans="1:12">
      <c r="A446" t="s">
        <v>457</v>
      </c>
      <c r="B446" s="2">
        <v>45860</v>
      </c>
      <c r="C446" t="s">
        <v>1026</v>
      </c>
      <c r="D446" t="s">
        <v>1013</v>
      </c>
      <c r="E446" t="s">
        <v>1042</v>
      </c>
      <c r="F446" t="s">
        <v>1022</v>
      </c>
      <c r="G446">
        <v>1</v>
      </c>
      <c r="H446" s="4">
        <v>5000</v>
      </c>
      <c r="I446" s="4">
        <v>1500</v>
      </c>
      <c r="J446" s="4">
        <v>5000</v>
      </c>
      <c r="K446" t="s">
        <v>1060</v>
      </c>
      <c r="L446" s="5"/>
    </row>
    <row r="447" spans="1:12">
      <c r="A447" t="s">
        <v>562</v>
      </c>
      <c r="B447" s="2">
        <v>45860</v>
      </c>
      <c r="C447" t="s">
        <v>1027</v>
      </c>
      <c r="D447" t="s">
        <v>1011</v>
      </c>
      <c r="E447" t="s">
        <v>1042</v>
      </c>
      <c r="F447" t="s">
        <v>1015</v>
      </c>
      <c r="G447">
        <v>2</v>
      </c>
      <c r="H447" s="4">
        <v>4000</v>
      </c>
      <c r="I447" s="4">
        <v>2000</v>
      </c>
      <c r="J447" s="4">
        <v>8000</v>
      </c>
      <c r="K447" t="s">
        <v>1060</v>
      </c>
      <c r="L447" s="5"/>
    </row>
    <row r="448" spans="1:12">
      <c r="A448" t="s">
        <v>123</v>
      </c>
      <c r="B448" s="2">
        <v>45859</v>
      </c>
      <c r="C448" t="s">
        <v>1025</v>
      </c>
      <c r="D448" t="s">
        <v>1011</v>
      </c>
      <c r="E448" t="s">
        <v>1043</v>
      </c>
      <c r="F448" t="s">
        <v>1018</v>
      </c>
      <c r="G448">
        <v>1</v>
      </c>
      <c r="H448" s="4">
        <v>2500</v>
      </c>
      <c r="I448" s="4">
        <v>600</v>
      </c>
      <c r="J448" s="4">
        <v>2500</v>
      </c>
      <c r="K448" t="s">
        <v>1060</v>
      </c>
      <c r="L448" s="5"/>
    </row>
    <row r="449" spans="1:12">
      <c r="A449" t="s">
        <v>713</v>
      </c>
      <c r="B449" s="2">
        <v>45859</v>
      </c>
      <c r="C449" t="s">
        <v>1025</v>
      </c>
      <c r="D449" t="s">
        <v>1011</v>
      </c>
      <c r="E449" t="s">
        <v>1041</v>
      </c>
      <c r="F449" t="s">
        <v>1017</v>
      </c>
      <c r="G449">
        <v>1</v>
      </c>
      <c r="H449" s="4">
        <v>2500</v>
      </c>
      <c r="I449" s="4">
        <v>700</v>
      </c>
      <c r="J449" s="4">
        <v>2500</v>
      </c>
      <c r="K449" t="s">
        <v>1058</v>
      </c>
      <c r="L449" s="5"/>
    </row>
    <row r="450" spans="1:12">
      <c r="A450" t="s">
        <v>618</v>
      </c>
      <c r="B450" s="2">
        <v>45858</v>
      </c>
      <c r="C450" t="s">
        <v>1026</v>
      </c>
      <c r="D450" t="s">
        <v>1011</v>
      </c>
      <c r="E450" t="s">
        <v>1044</v>
      </c>
      <c r="F450" t="s">
        <v>1014</v>
      </c>
      <c r="G450">
        <v>1</v>
      </c>
      <c r="H450" s="4">
        <v>2500</v>
      </c>
      <c r="I450" s="4">
        <v>500</v>
      </c>
      <c r="J450" s="4">
        <v>2500</v>
      </c>
      <c r="K450" t="s">
        <v>1059</v>
      </c>
      <c r="L450" s="5"/>
    </row>
    <row r="451" spans="1:12">
      <c r="A451" t="s">
        <v>119</v>
      </c>
      <c r="B451" s="2">
        <v>45857</v>
      </c>
      <c r="C451" t="s">
        <v>1026</v>
      </c>
      <c r="D451" t="s">
        <v>1011</v>
      </c>
      <c r="E451" t="s">
        <v>1044</v>
      </c>
      <c r="F451" t="s">
        <v>1062</v>
      </c>
      <c r="G451">
        <v>1</v>
      </c>
      <c r="H451" s="4">
        <v>8000</v>
      </c>
      <c r="I451" s="4">
        <v>2500</v>
      </c>
      <c r="J451" s="4">
        <v>8000</v>
      </c>
      <c r="K451" t="s">
        <v>1060</v>
      </c>
      <c r="L451" s="5"/>
    </row>
    <row r="452" spans="1:12">
      <c r="A452" t="s">
        <v>121</v>
      </c>
      <c r="B452" s="2">
        <v>45857</v>
      </c>
      <c r="C452" t="s">
        <v>1026</v>
      </c>
      <c r="D452" t="s">
        <v>1011</v>
      </c>
      <c r="E452" t="s">
        <v>1043</v>
      </c>
      <c r="F452" t="s">
        <v>1023</v>
      </c>
      <c r="G452">
        <v>1</v>
      </c>
      <c r="H452" s="4">
        <v>3000</v>
      </c>
      <c r="I452" s="4">
        <v>700</v>
      </c>
      <c r="J452" s="4">
        <v>3000</v>
      </c>
      <c r="K452" t="s">
        <v>1060</v>
      </c>
      <c r="L452" s="5"/>
    </row>
    <row r="453" spans="1:12">
      <c r="A453" t="s">
        <v>338</v>
      </c>
      <c r="B453" s="2">
        <v>45857</v>
      </c>
      <c r="C453" t="s">
        <v>1026</v>
      </c>
      <c r="D453" t="s">
        <v>1013</v>
      </c>
      <c r="E453" t="s">
        <v>1043</v>
      </c>
      <c r="F453" t="s">
        <v>1018</v>
      </c>
      <c r="G453">
        <v>1</v>
      </c>
      <c r="H453" s="4">
        <v>2500</v>
      </c>
      <c r="I453" s="4">
        <v>600</v>
      </c>
      <c r="J453" s="4">
        <v>2500</v>
      </c>
      <c r="K453" t="s">
        <v>1060</v>
      </c>
      <c r="L453" s="5"/>
    </row>
    <row r="454" spans="1:12">
      <c r="A454" t="s">
        <v>524</v>
      </c>
      <c r="B454" s="2">
        <v>45857</v>
      </c>
      <c r="C454" t="s">
        <v>1026</v>
      </c>
      <c r="D454" t="s">
        <v>1012</v>
      </c>
      <c r="E454" t="s">
        <v>1042</v>
      </c>
      <c r="F454" t="s">
        <v>1022</v>
      </c>
      <c r="G454">
        <v>1</v>
      </c>
      <c r="H454" s="4">
        <v>5000</v>
      </c>
      <c r="I454" s="4">
        <v>1500</v>
      </c>
      <c r="J454" s="4">
        <v>5000</v>
      </c>
      <c r="K454" t="s">
        <v>1059</v>
      </c>
      <c r="L454" s="5"/>
    </row>
    <row r="455" spans="1:12">
      <c r="A455" t="s">
        <v>236</v>
      </c>
      <c r="B455" s="2">
        <v>45856</v>
      </c>
      <c r="C455" t="s">
        <v>1026</v>
      </c>
      <c r="D455" t="s">
        <v>1012</v>
      </c>
      <c r="E455" t="s">
        <v>1044</v>
      </c>
      <c r="F455" t="s">
        <v>1014</v>
      </c>
      <c r="G455">
        <v>1</v>
      </c>
      <c r="H455" s="4">
        <v>2500</v>
      </c>
      <c r="I455" s="4">
        <v>500</v>
      </c>
      <c r="J455" s="4">
        <v>2500</v>
      </c>
      <c r="K455" t="s">
        <v>1060</v>
      </c>
      <c r="L455" s="5"/>
    </row>
    <row r="456" spans="1:12">
      <c r="A456" t="s">
        <v>762</v>
      </c>
      <c r="B456" s="2">
        <v>45856</v>
      </c>
      <c r="C456" t="s">
        <v>1025</v>
      </c>
      <c r="D456" t="s">
        <v>1013</v>
      </c>
      <c r="E456" t="s">
        <v>1044</v>
      </c>
      <c r="F456" t="s">
        <v>1020</v>
      </c>
      <c r="G456">
        <v>2</v>
      </c>
      <c r="H456" s="4">
        <v>7500</v>
      </c>
      <c r="I456" s="4">
        <v>4400</v>
      </c>
      <c r="J456" s="4">
        <v>15000</v>
      </c>
      <c r="K456" t="s">
        <v>1060</v>
      </c>
      <c r="L456" s="5"/>
    </row>
    <row r="457" spans="1:12">
      <c r="A457" t="s">
        <v>92</v>
      </c>
      <c r="B457" s="2">
        <v>45855</v>
      </c>
      <c r="C457" t="s">
        <v>1025</v>
      </c>
      <c r="D457" t="s">
        <v>1013</v>
      </c>
      <c r="E457" t="s">
        <v>1043</v>
      </c>
      <c r="F457" t="s">
        <v>1021</v>
      </c>
      <c r="G457">
        <v>1</v>
      </c>
      <c r="H457" s="4">
        <v>6000</v>
      </c>
      <c r="I457" s="4">
        <v>1800</v>
      </c>
      <c r="J457" s="4">
        <v>6000</v>
      </c>
      <c r="K457" t="s">
        <v>1058</v>
      </c>
      <c r="L457" s="5"/>
    </row>
    <row r="458" spans="1:12">
      <c r="A458" t="s">
        <v>200</v>
      </c>
      <c r="B458" s="2">
        <v>45855</v>
      </c>
      <c r="C458" t="s">
        <v>1025</v>
      </c>
      <c r="D458" t="s">
        <v>1011</v>
      </c>
      <c r="E458" t="s">
        <v>1042</v>
      </c>
      <c r="F458" t="s">
        <v>1022</v>
      </c>
      <c r="G458">
        <v>2</v>
      </c>
      <c r="H458" s="4">
        <v>5000</v>
      </c>
      <c r="I458" s="4">
        <v>3000</v>
      </c>
      <c r="J458" s="4">
        <v>10000</v>
      </c>
      <c r="K458" t="s">
        <v>1059</v>
      </c>
      <c r="L458" s="5"/>
    </row>
    <row r="459" spans="1:12">
      <c r="A459" t="s">
        <v>327</v>
      </c>
      <c r="B459" s="2">
        <v>45855</v>
      </c>
      <c r="C459" t="s">
        <v>1027</v>
      </c>
      <c r="D459" t="s">
        <v>1012</v>
      </c>
      <c r="E459" t="s">
        <v>1044</v>
      </c>
      <c r="F459" t="s">
        <v>1062</v>
      </c>
      <c r="G459">
        <v>1</v>
      </c>
      <c r="H459" s="4">
        <v>8000</v>
      </c>
      <c r="I459" s="4">
        <v>2500</v>
      </c>
      <c r="J459" s="4">
        <v>8000</v>
      </c>
      <c r="K459" t="s">
        <v>1059</v>
      </c>
      <c r="L459" s="5"/>
    </row>
    <row r="460" spans="1:12">
      <c r="A460" t="s">
        <v>349</v>
      </c>
      <c r="B460" s="2">
        <v>45855</v>
      </c>
      <c r="C460" t="s">
        <v>1026</v>
      </c>
      <c r="D460" t="s">
        <v>1013</v>
      </c>
      <c r="E460" t="s">
        <v>1042</v>
      </c>
      <c r="F460" t="s">
        <v>1022</v>
      </c>
      <c r="G460">
        <v>2</v>
      </c>
      <c r="H460" s="4">
        <v>5000</v>
      </c>
      <c r="I460" s="4">
        <v>3000</v>
      </c>
      <c r="J460" s="4">
        <v>10000</v>
      </c>
      <c r="K460" t="s">
        <v>1058</v>
      </c>
      <c r="L460" s="5"/>
    </row>
    <row r="461" spans="1:12">
      <c r="A461" t="s">
        <v>703</v>
      </c>
      <c r="B461" s="2">
        <v>45855</v>
      </c>
      <c r="C461" t="s">
        <v>1026</v>
      </c>
      <c r="D461" t="s">
        <v>1011</v>
      </c>
      <c r="E461" t="s">
        <v>1041</v>
      </c>
      <c r="F461" t="s">
        <v>1061</v>
      </c>
      <c r="G461">
        <v>1</v>
      </c>
      <c r="H461" s="4">
        <v>5000</v>
      </c>
      <c r="I461" s="4">
        <v>1500</v>
      </c>
      <c r="J461" s="4">
        <v>5000</v>
      </c>
      <c r="K461" t="s">
        <v>1058</v>
      </c>
      <c r="L461" s="5"/>
    </row>
    <row r="462" spans="1:12">
      <c r="A462" t="s">
        <v>867</v>
      </c>
      <c r="B462" s="2">
        <v>45855</v>
      </c>
      <c r="C462" t="s">
        <v>1026</v>
      </c>
      <c r="D462" t="s">
        <v>1011</v>
      </c>
      <c r="E462" t="s">
        <v>1042</v>
      </c>
      <c r="F462" t="s">
        <v>1019</v>
      </c>
      <c r="G462">
        <v>1</v>
      </c>
      <c r="H462" s="4">
        <v>3000</v>
      </c>
      <c r="I462" s="4">
        <v>800</v>
      </c>
      <c r="J462" s="4">
        <v>3000</v>
      </c>
      <c r="K462" t="s">
        <v>1060</v>
      </c>
      <c r="L462" s="5"/>
    </row>
    <row r="463" spans="1:12">
      <c r="A463" t="s">
        <v>781</v>
      </c>
      <c r="B463" s="2">
        <v>45854</v>
      </c>
      <c r="C463" t="s">
        <v>1025</v>
      </c>
      <c r="D463" t="s">
        <v>1011</v>
      </c>
      <c r="E463" t="s">
        <v>1041</v>
      </c>
      <c r="F463" t="s">
        <v>1016</v>
      </c>
      <c r="G463">
        <v>1</v>
      </c>
      <c r="H463" s="4">
        <v>3000</v>
      </c>
      <c r="I463" s="4">
        <v>800</v>
      </c>
      <c r="J463" s="4">
        <v>3000</v>
      </c>
      <c r="K463" t="s">
        <v>1058</v>
      </c>
      <c r="L463" s="5"/>
    </row>
    <row r="464" spans="1:12">
      <c r="A464" t="s">
        <v>952</v>
      </c>
      <c r="B464" s="2">
        <v>45854</v>
      </c>
      <c r="C464" t="s">
        <v>1026</v>
      </c>
      <c r="D464" t="s">
        <v>1011</v>
      </c>
      <c r="E464" t="s">
        <v>1043</v>
      </c>
      <c r="F464" t="s">
        <v>1021</v>
      </c>
      <c r="G464">
        <v>1</v>
      </c>
      <c r="H464" s="4">
        <v>6000</v>
      </c>
      <c r="I464" s="4">
        <v>1800</v>
      </c>
      <c r="J464" s="4">
        <v>6000</v>
      </c>
      <c r="K464" t="s">
        <v>1060</v>
      </c>
      <c r="L464" s="5"/>
    </row>
    <row r="465" spans="1:12">
      <c r="A465" t="s">
        <v>256</v>
      </c>
      <c r="B465" s="2">
        <v>45853</v>
      </c>
      <c r="C465" t="s">
        <v>1025</v>
      </c>
      <c r="D465" t="s">
        <v>1011</v>
      </c>
      <c r="E465" t="s">
        <v>1043</v>
      </c>
      <c r="F465" t="s">
        <v>1021</v>
      </c>
      <c r="G465">
        <v>1</v>
      </c>
      <c r="H465" s="4">
        <v>6000</v>
      </c>
      <c r="I465" s="4">
        <v>1800</v>
      </c>
      <c r="J465" s="4">
        <v>6000</v>
      </c>
      <c r="K465" t="s">
        <v>1058</v>
      </c>
      <c r="L465" s="5"/>
    </row>
    <row r="466" spans="1:12">
      <c r="A466" t="s">
        <v>461</v>
      </c>
      <c r="B466" s="2">
        <v>45853</v>
      </c>
      <c r="C466" t="s">
        <v>1026</v>
      </c>
      <c r="D466" t="s">
        <v>1012</v>
      </c>
      <c r="E466" t="s">
        <v>1044</v>
      </c>
      <c r="F466" t="s">
        <v>1020</v>
      </c>
      <c r="G466">
        <v>1</v>
      </c>
      <c r="H466" s="4">
        <v>7500</v>
      </c>
      <c r="I466" s="4">
        <v>2200</v>
      </c>
      <c r="J466" s="4">
        <v>7500</v>
      </c>
      <c r="K466" t="s">
        <v>1058</v>
      </c>
      <c r="L466" s="5"/>
    </row>
    <row r="467" spans="1:12">
      <c r="A467" t="s">
        <v>677</v>
      </c>
      <c r="B467" s="2">
        <v>45853</v>
      </c>
      <c r="C467" t="s">
        <v>1025</v>
      </c>
      <c r="D467" t="s">
        <v>1012</v>
      </c>
      <c r="E467" t="s">
        <v>1042</v>
      </c>
      <c r="F467" t="s">
        <v>1015</v>
      </c>
      <c r="G467">
        <v>1</v>
      </c>
      <c r="H467" s="4">
        <v>4000</v>
      </c>
      <c r="I467" s="4">
        <v>1000</v>
      </c>
      <c r="J467" s="4">
        <v>4000</v>
      </c>
      <c r="K467" t="s">
        <v>1058</v>
      </c>
      <c r="L467" s="5"/>
    </row>
    <row r="468" spans="1:12">
      <c r="A468" t="s">
        <v>851</v>
      </c>
      <c r="B468" s="2">
        <v>45853</v>
      </c>
      <c r="C468" t="s">
        <v>1026</v>
      </c>
      <c r="D468" t="s">
        <v>1012</v>
      </c>
      <c r="E468" t="s">
        <v>1042</v>
      </c>
      <c r="F468" t="s">
        <v>1022</v>
      </c>
      <c r="G468">
        <v>1</v>
      </c>
      <c r="H468" s="4">
        <v>5000</v>
      </c>
      <c r="I468" s="4">
        <v>1500</v>
      </c>
      <c r="J468" s="4">
        <v>5000</v>
      </c>
      <c r="K468" t="s">
        <v>1060</v>
      </c>
      <c r="L468" s="5"/>
    </row>
    <row r="469" spans="1:12">
      <c r="A469" t="s">
        <v>989</v>
      </c>
      <c r="B469" s="2">
        <v>45853</v>
      </c>
      <c r="C469" t="s">
        <v>1027</v>
      </c>
      <c r="D469" t="s">
        <v>1013</v>
      </c>
      <c r="E469" t="s">
        <v>1043</v>
      </c>
      <c r="F469" t="s">
        <v>1018</v>
      </c>
      <c r="G469">
        <v>2</v>
      </c>
      <c r="H469" s="4">
        <v>2500</v>
      </c>
      <c r="I469" s="4">
        <v>1200</v>
      </c>
      <c r="J469" s="4">
        <v>5000</v>
      </c>
      <c r="K469" t="s">
        <v>1060</v>
      </c>
      <c r="L469" s="5"/>
    </row>
    <row r="470" spans="1:12">
      <c r="A470" t="s">
        <v>272</v>
      </c>
      <c r="B470" s="2">
        <v>45850</v>
      </c>
      <c r="C470" t="s">
        <v>1026</v>
      </c>
      <c r="D470" t="s">
        <v>1012</v>
      </c>
      <c r="E470" t="s">
        <v>1041</v>
      </c>
      <c r="F470" t="s">
        <v>1017</v>
      </c>
      <c r="G470">
        <v>1</v>
      </c>
      <c r="H470" s="4">
        <v>2500</v>
      </c>
      <c r="I470" s="4">
        <v>700</v>
      </c>
      <c r="J470" s="4">
        <v>2500</v>
      </c>
      <c r="K470" t="s">
        <v>1058</v>
      </c>
      <c r="L470" s="5"/>
    </row>
    <row r="471" spans="1:12">
      <c r="A471" t="s">
        <v>787</v>
      </c>
      <c r="B471" s="2">
        <v>45850</v>
      </c>
      <c r="C471" t="s">
        <v>1025</v>
      </c>
      <c r="D471" t="s">
        <v>1012</v>
      </c>
      <c r="E471" t="s">
        <v>1042</v>
      </c>
      <c r="F471" t="s">
        <v>1019</v>
      </c>
      <c r="G471">
        <v>1</v>
      </c>
      <c r="H471" s="4">
        <v>3000</v>
      </c>
      <c r="I471" s="4">
        <v>800</v>
      </c>
      <c r="J471" s="4">
        <v>3000</v>
      </c>
      <c r="K471" t="s">
        <v>1060</v>
      </c>
      <c r="L471" s="5"/>
    </row>
    <row r="472" spans="1:12">
      <c r="A472" t="s">
        <v>915</v>
      </c>
      <c r="B472" s="2">
        <v>45850</v>
      </c>
      <c r="C472" t="s">
        <v>1027</v>
      </c>
      <c r="D472" t="s">
        <v>1011</v>
      </c>
      <c r="E472" t="s">
        <v>1043</v>
      </c>
      <c r="F472" t="s">
        <v>1018</v>
      </c>
      <c r="G472">
        <v>1</v>
      </c>
      <c r="H472" s="4">
        <v>2500</v>
      </c>
      <c r="I472" s="4">
        <v>600</v>
      </c>
      <c r="J472" s="4">
        <v>2500</v>
      </c>
      <c r="K472" t="s">
        <v>1058</v>
      </c>
      <c r="L472" s="5"/>
    </row>
    <row r="473" spans="1:12">
      <c r="A473" t="s">
        <v>262</v>
      </c>
      <c r="B473" s="2">
        <v>45848</v>
      </c>
      <c r="C473" t="s">
        <v>1027</v>
      </c>
      <c r="D473" t="s">
        <v>1011</v>
      </c>
      <c r="E473" t="s">
        <v>1044</v>
      </c>
      <c r="F473" t="s">
        <v>1020</v>
      </c>
      <c r="G473">
        <v>1</v>
      </c>
      <c r="H473" s="4">
        <v>7500</v>
      </c>
      <c r="I473" s="4">
        <v>2200</v>
      </c>
      <c r="J473" s="4">
        <v>7500</v>
      </c>
      <c r="K473" t="s">
        <v>1059</v>
      </c>
      <c r="L473" s="5"/>
    </row>
    <row r="474" spans="1:12">
      <c r="A474" t="s">
        <v>323</v>
      </c>
      <c r="B474" s="2">
        <v>45848</v>
      </c>
      <c r="C474" t="s">
        <v>1025</v>
      </c>
      <c r="D474" t="s">
        <v>1013</v>
      </c>
      <c r="E474" t="s">
        <v>1041</v>
      </c>
      <c r="F474" t="s">
        <v>1061</v>
      </c>
      <c r="G474">
        <v>2</v>
      </c>
      <c r="H474" s="4">
        <v>5000</v>
      </c>
      <c r="I474" s="4">
        <v>3000</v>
      </c>
      <c r="J474" s="4">
        <v>10000</v>
      </c>
      <c r="K474" t="s">
        <v>1060</v>
      </c>
      <c r="L474" s="5"/>
    </row>
    <row r="475" spans="1:12">
      <c r="A475" t="s">
        <v>806</v>
      </c>
      <c r="B475" s="2">
        <v>45848</v>
      </c>
      <c r="C475" t="s">
        <v>1026</v>
      </c>
      <c r="D475" t="s">
        <v>1013</v>
      </c>
      <c r="E475" t="s">
        <v>1044</v>
      </c>
      <c r="F475" t="s">
        <v>1063</v>
      </c>
      <c r="G475">
        <v>1</v>
      </c>
      <c r="H475" s="4">
        <v>7000</v>
      </c>
      <c r="I475" s="4">
        <v>2000</v>
      </c>
      <c r="J475" s="4">
        <v>7000</v>
      </c>
      <c r="K475" t="s">
        <v>1059</v>
      </c>
      <c r="L475" s="5"/>
    </row>
    <row r="476" spans="1:12">
      <c r="A476" t="s">
        <v>482</v>
      </c>
      <c r="B476" s="2">
        <v>45847</v>
      </c>
      <c r="C476" t="s">
        <v>1027</v>
      </c>
      <c r="D476" t="s">
        <v>1011</v>
      </c>
      <c r="E476" t="s">
        <v>1041</v>
      </c>
      <c r="F476" t="s">
        <v>1017</v>
      </c>
      <c r="G476">
        <v>2</v>
      </c>
      <c r="H476" s="4">
        <v>2500</v>
      </c>
      <c r="I476" s="4">
        <v>1400</v>
      </c>
      <c r="J476" s="4">
        <v>5000</v>
      </c>
      <c r="K476" t="s">
        <v>1060</v>
      </c>
      <c r="L476" s="5"/>
    </row>
    <row r="477" spans="1:12">
      <c r="A477" t="s">
        <v>350</v>
      </c>
      <c r="B477" s="2">
        <v>45846</v>
      </c>
      <c r="C477" t="s">
        <v>1025</v>
      </c>
      <c r="D477" t="s">
        <v>1012</v>
      </c>
      <c r="E477" t="s">
        <v>1042</v>
      </c>
      <c r="F477" t="s">
        <v>1022</v>
      </c>
      <c r="G477">
        <v>2</v>
      </c>
      <c r="H477" s="4">
        <v>5000</v>
      </c>
      <c r="I477" s="4">
        <v>3000</v>
      </c>
      <c r="J477" s="4">
        <v>10000</v>
      </c>
      <c r="K477" t="s">
        <v>1059</v>
      </c>
      <c r="L477" s="5"/>
    </row>
    <row r="478" spans="1:12">
      <c r="A478" t="s">
        <v>637</v>
      </c>
      <c r="B478" s="2">
        <v>45846</v>
      </c>
      <c r="C478" t="s">
        <v>1027</v>
      </c>
      <c r="D478" t="s">
        <v>1012</v>
      </c>
      <c r="E478" t="s">
        <v>1043</v>
      </c>
      <c r="F478" t="s">
        <v>1023</v>
      </c>
      <c r="G478">
        <v>1</v>
      </c>
      <c r="H478" s="4">
        <v>3000</v>
      </c>
      <c r="I478" s="4">
        <v>700</v>
      </c>
      <c r="J478" s="4">
        <v>3000</v>
      </c>
      <c r="K478" t="s">
        <v>1059</v>
      </c>
      <c r="L478" s="5"/>
    </row>
    <row r="479" spans="1:12">
      <c r="A479" t="s">
        <v>914</v>
      </c>
      <c r="B479" s="2">
        <v>45845</v>
      </c>
      <c r="C479" t="s">
        <v>1025</v>
      </c>
      <c r="D479" t="s">
        <v>1011</v>
      </c>
      <c r="E479" t="s">
        <v>1044</v>
      </c>
      <c r="F479" t="s">
        <v>1020</v>
      </c>
      <c r="G479">
        <v>2</v>
      </c>
      <c r="H479" s="4">
        <v>7500</v>
      </c>
      <c r="I479" s="4">
        <v>4400</v>
      </c>
      <c r="J479" s="4">
        <v>15000</v>
      </c>
      <c r="K479" t="s">
        <v>1059</v>
      </c>
      <c r="L479" s="5"/>
    </row>
    <row r="480" spans="1:12">
      <c r="A480" t="s">
        <v>94</v>
      </c>
      <c r="B480" s="2">
        <v>45844</v>
      </c>
      <c r="C480" t="s">
        <v>1026</v>
      </c>
      <c r="D480" t="s">
        <v>1013</v>
      </c>
      <c r="E480" t="s">
        <v>1042</v>
      </c>
      <c r="F480" t="s">
        <v>1022</v>
      </c>
      <c r="G480">
        <v>1</v>
      </c>
      <c r="H480" s="4">
        <v>5000</v>
      </c>
      <c r="I480" s="4">
        <v>1500</v>
      </c>
      <c r="J480" s="4">
        <v>5000</v>
      </c>
      <c r="K480" t="s">
        <v>1060</v>
      </c>
      <c r="L480" s="5"/>
    </row>
    <row r="481" spans="1:12">
      <c r="A481" t="s">
        <v>303</v>
      </c>
      <c r="B481" s="2">
        <v>45844</v>
      </c>
      <c r="C481" t="s">
        <v>1026</v>
      </c>
      <c r="D481" t="s">
        <v>1012</v>
      </c>
      <c r="E481" t="s">
        <v>1043</v>
      </c>
      <c r="F481" t="s">
        <v>1018</v>
      </c>
      <c r="G481">
        <v>1</v>
      </c>
      <c r="H481" s="4">
        <v>2500</v>
      </c>
      <c r="I481" s="4">
        <v>600</v>
      </c>
      <c r="J481" s="4">
        <v>2500</v>
      </c>
      <c r="K481" t="s">
        <v>1058</v>
      </c>
      <c r="L481" s="5"/>
    </row>
    <row r="482" spans="1:12">
      <c r="A482" t="s">
        <v>540</v>
      </c>
      <c r="B482" s="2">
        <v>45844</v>
      </c>
      <c r="C482" t="s">
        <v>1027</v>
      </c>
      <c r="D482" t="s">
        <v>1011</v>
      </c>
      <c r="E482" t="s">
        <v>1044</v>
      </c>
      <c r="F482" t="s">
        <v>1063</v>
      </c>
      <c r="G482">
        <v>2</v>
      </c>
      <c r="H482" s="4">
        <v>7000</v>
      </c>
      <c r="I482" s="4">
        <v>4000</v>
      </c>
      <c r="J482" s="4">
        <v>14000</v>
      </c>
      <c r="K482" t="s">
        <v>1059</v>
      </c>
      <c r="L482" s="5"/>
    </row>
    <row r="483" spans="1:12">
      <c r="A483" t="s">
        <v>906</v>
      </c>
      <c r="B483" s="2">
        <v>45844</v>
      </c>
      <c r="C483" t="s">
        <v>1025</v>
      </c>
      <c r="D483" t="s">
        <v>1013</v>
      </c>
      <c r="E483" t="s">
        <v>1041</v>
      </c>
      <c r="F483" t="s">
        <v>1017</v>
      </c>
      <c r="G483">
        <v>2</v>
      </c>
      <c r="H483" s="4">
        <v>2500</v>
      </c>
      <c r="I483" s="4">
        <v>1400</v>
      </c>
      <c r="J483" s="4">
        <v>5000</v>
      </c>
      <c r="K483" t="s">
        <v>1060</v>
      </c>
      <c r="L483" s="5"/>
    </row>
    <row r="484" spans="1:12">
      <c r="A484" t="s">
        <v>250</v>
      </c>
      <c r="B484" s="2">
        <v>45843</v>
      </c>
      <c r="C484" t="s">
        <v>1025</v>
      </c>
      <c r="D484" t="s">
        <v>1011</v>
      </c>
      <c r="E484" t="s">
        <v>1043</v>
      </c>
      <c r="F484" t="s">
        <v>1023</v>
      </c>
      <c r="G484">
        <v>2</v>
      </c>
      <c r="H484" s="4">
        <v>3000</v>
      </c>
      <c r="I484" s="4">
        <v>1400</v>
      </c>
      <c r="J484" s="4">
        <v>6000</v>
      </c>
      <c r="K484" t="s">
        <v>1059</v>
      </c>
      <c r="L484" s="5"/>
    </row>
    <row r="485" spans="1:12">
      <c r="A485" t="s">
        <v>312</v>
      </c>
      <c r="B485" s="2">
        <v>45843</v>
      </c>
      <c r="C485" t="s">
        <v>1026</v>
      </c>
      <c r="D485" t="s">
        <v>1013</v>
      </c>
      <c r="E485" t="s">
        <v>1044</v>
      </c>
      <c r="F485" t="s">
        <v>1062</v>
      </c>
      <c r="G485">
        <v>1</v>
      </c>
      <c r="H485" s="4">
        <v>8000</v>
      </c>
      <c r="I485" s="4">
        <v>2500</v>
      </c>
      <c r="J485" s="4">
        <v>8000</v>
      </c>
      <c r="K485" t="s">
        <v>1059</v>
      </c>
      <c r="L485" s="5"/>
    </row>
    <row r="486" spans="1:12">
      <c r="A486" t="s">
        <v>359</v>
      </c>
      <c r="B486" s="2">
        <v>45843</v>
      </c>
      <c r="C486" t="s">
        <v>1026</v>
      </c>
      <c r="D486" t="s">
        <v>1011</v>
      </c>
      <c r="E486" t="s">
        <v>1042</v>
      </c>
      <c r="F486" t="s">
        <v>1019</v>
      </c>
      <c r="G486">
        <v>1</v>
      </c>
      <c r="H486" s="4">
        <v>3000</v>
      </c>
      <c r="I486" s="4">
        <v>800</v>
      </c>
      <c r="J486" s="4">
        <v>3000</v>
      </c>
      <c r="K486" t="s">
        <v>1059</v>
      </c>
      <c r="L486" s="5"/>
    </row>
    <row r="487" spans="1:12">
      <c r="A487" t="s">
        <v>369</v>
      </c>
      <c r="B487" s="2">
        <v>45843</v>
      </c>
      <c r="C487" t="s">
        <v>1025</v>
      </c>
      <c r="D487" t="s">
        <v>1013</v>
      </c>
      <c r="E487" t="s">
        <v>1042</v>
      </c>
      <c r="F487" t="s">
        <v>1022</v>
      </c>
      <c r="G487">
        <v>1</v>
      </c>
      <c r="H487" s="4">
        <v>5000</v>
      </c>
      <c r="I487" s="4">
        <v>1500</v>
      </c>
      <c r="J487" s="4">
        <v>5000</v>
      </c>
      <c r="K487" t="s">
        <v>1059</v>
      </c>
      <c r="L487" s="5"/>
    </row>
    <row r="488" spans="1:12">
      <c r="A488" t="s">
        <v>547</v>
      </c>
      <c r="B488" s="2">
        <v>45842</v>
      </c>
      <c r="C488" t="s">
        <v>1025</v>
      </c>
      <c r="D488" t="s">
        <v>1011</v>
      </c>
      <c r="E488" t="s">
        <v>1043</v>
      </c>
      <c r="F488" t="s">
        <v>1018</v>
      </c>
      <c r="G488">
        <v>1</v>
      </c>
      <c r="H488" s="4">
        <v>2500</v>
      </c>
      <c r="I488" s="4">
        <v>600</v>
      </c>
      <c r="J488" s="4">
        <v>2500</v>
      </c>
      <c r="K488" t="s">
        <v>1060</v>
      </c>
      <c r="L488" s="5"/>
    </row>
    <row r="489" spans="1:12">
      <c r="A489" t="s">
        <v>714</v>
      </c>
      <c r="B489" s="2">
        <v>45842</v>
      </c>
      <c r="C489" t="s">
        <v>1027</v>
      </c>
      <c r="D489" t="s">
        <v>1012</v>
      </c>
      <c r="E489" t="s">
        <v>1041</v>
      </c>
      <c r="F489" t="s">
        <v>1016</v>
      </c>
      <c r="G489">
        <v>1</v>
      </c>
      <c r="H489" s="4">
        <v>3000</v>
      </c>
      <c r="I489" s="4">
        <v>800</v>
      </c>
      <c r="J489" s="4">
        <v>3000</v>
      </c>
      <c r="K489" t="s">
        <v>1059</v>
      </c>
      <c r="L489" s="5"/>
    </row>
    <row r="490" spans="1:12">
      <c r="A490" t="s">
        <v>898</v>
      </c>
      <c r="B490" s="2">
        <v>45842</v>
      </c>
      <c r="C490" t="s">
        <v>1027</v>
      </c>
      <c r="D490" t="s">
        <v>1011</v>
      </c>
      <c r="E490" t="s">
        <v>1044</v>
      </c>
      <c r="F490" t="s">
        <v>1020</v>
      </c>
      <c r="G490">
        <v>1</v>
      </c>
      <c r="H490" s="4">
        <v>7500</v>
      </c>
      <c r="I490" s="4">
        <v>2200</v>
      </c>
      <c r="J490" s="4">
        <v>7500</v>
      </c>
      <c r="K490" t="s">
        <v>1060</v>
      </c>
      <c r="L490" s="5"/>
    </row>
    <row r="491" spans="1:12">
      <c r="A491" t="s">
        <v>15</v>
      </c>
      <c r="B491" s="2">
        <v>45841</v>
      </c>
      <c r="C491" t="s">
        <v>1026</v>
      </c>
      <c r="D491" t="s">
        <v>1011</v>
      </c>
      <c r="E491" t="s">
        <v>1044</v>
      </c>
      <c r="F491" t="s">
        <v>1020</v>
      </c>
      <c r="G491">
        <v>1</v>
      </c>
      <c r="H491" s="4">
        <v>7500</v>
      </c>
      <c r="I491" s="4">
        <v>2200</v>
      </c>
      <c r="J491" s="4">
        <v>7500</v>
      </c>
      <c r="K491" t="s">
        <v>1058</v>
      </c>
      <c r="L491" s="5"/>
    </row>
    <row r="492" spans="1:12">
      <c r="A492" t="s">
        <v>81</v>
      </c>
      <c r="B492" s="2">
        <v>45841</v>
      </c>
      <c r="C492" t="s">
        <v>1027</v>
      </c>
      <c r="D492" t="s">
        <v>1011</v>
      </c>
      <c r="E492" t="s">
        <v>1044</v>
      </c>
      <c r="F492" t="s">
        <v>1062</v>
      </c>
      <c r="G492">
        <v>1</v>
      </c>
      <c r="H492" s="4">
        <v>8000</v>
      </c>
      <c r="I492" s="4">
        <v>2500</v>
      </c>
      <c r="J492" s="4">
        <v>8000</v>
      </c>
      <c r="K492" t="s">
        <v>1059</v>
      </c>
      <c r="L492" s="5"/>
    </row>
    <row r="493" spans="1:12">
      <c r="A493" t="s">
        <v>521</v>
      </c>
      <c r="B493" s="2">
        <v>45840</v>
      </c>
      <c r="C493" t="s">
        <v>1025</v>
      </c>
      <c r="D493" t="s">
        <v>1012</v>
      </c>
      <c r="E493" t="s">
        <v>1043</v>
      </c>
      <c r="F493" t="s">
        <v>1023</v>
      </c>
      <c r="G493">
        <v>1</v>
      </c>
      <c r="H493" s="4">
        <v>3000</v>
      </c>
      <c r="I493" s="4">
        <v>700</v>
      </c>
      <c r="J493" s="4">
        <v>3000</v>
      </c>
      <c r="K493" t="s">
        <v>1058</v>
      </c>
      <c r="L493" s="5"/>
    </row>
    <row r="494" spans="1:12">
      <c r="A494" t="s">
        <v>663</v>
      </c>
      <c r="B494" s="2">
        <v>45840</v>
      </c>
      <c r="C494" t="s">
        <v>1026</v>
      </c>
      <c r="D494" t="s">
        <v>1011</v>
      </c>
      <c r="E494" t="s">
        <v>1042</v>
      </c>
      <c r="F494" t="s">
        <v>1022</v>
      </c>
      <c r="G494">
        <v>1</v>
      </c>
      <c r="H494" s="4">
        <v>5000</v>
      </c>
      <c r="I494" s="4">
        <v>1500</v>
      </c>
      <c r="J494" s="4">
        <v>5000</v>
      </c>
      <c r="K494" t="s">
        <v>1059</v>
      </c>
      <c r="L494" s="5"/>
    </row>
    <row r="495" spans="1:12">
      <c r="A495" t="s">
        <v>82</v>
      </c>
      <c r="B495" s="2">
        <v>45839</v>
      </c>
      <c r="C495" t="s">
        <v>1025</v>
      </c>
      <c r="D495" t="s">
        <v>1012</v>
      </c>
      <c r="E495" t="s">
        <v>1042</v>
      </c>
      <c r="F495" t="s">
        <v>1015</v>
      </c>
      <c r="G495">
        <v>1</v>
      </c>
      <c r="H495" s="4">
        <v>4000</v>
      </c>
      <c r="I495" s="4">
        <v>1000</v>
      </c>
      <c r="J495" s="4">
        <v>4000</v>
      </c>
      <c r="K495" t="s">
        <v>1060</v>
      </c>
      <c r="L495" s="5"/>
    </row>
    <row r="496" spans="1:12">
      <c r="A496" t="s">
        <v>144</v>
      </c>
      <c r="B496" s="2">
        <v>45839</v>
      </c>
      <c r="C496" t="s">
        <v>1026</v>
      </c>
      <c r="D496" t="s">
        <v>1012</v>
      </c>
      <c r="E496" t="s">
        <v>1043</v>
      </c>
      <c r="F496" t="s">
        <v>1023</v>
      </c>
      <c r="G496">
        <v>1</v>
      </c>
      <c r="H496" s="4">
        <v>3000</v>
      </c>
      <c r="I496" s="4">
        <v>700</v>
      </c>
      <c r="J496" s="4">
        <v>3000</v>
      </c>
      <c r="K496" t="s">
        <v>1058</v>
      </c>
      <c r="L496" s="5"/>
    </row>
    <row r="497" spans="1:12">
      <c r="A497" t="s">
        <v>672</v>
      </c>
      <c r="B497" s="2">
        <v>45839</v>
      </c>
      <c r="C497" t="s">
        <v>1027</v>
      </c>
      <c r="D497" t="s">
        <v>1013</v>
      </c>
      <c r="E497" t="s">
        <v>1044</v>
      </c>
      <c r="F497" t="s">
        <v>1020</v>
      </c>
      <c r="G497">
        <v>1</v>
      </c>
      <c r="H497" s="4">
        <v>7500</v>
      </c>
      <c r="I497" s="4">
        <v>2200</v>
      </c>
      <c r="J497" s="4">
        <v>7500</v>
      </c>
      <c r="K497" t="s">
        <v>1058</v>
      </c>
      <c r="L497" s="5"/>
    </row>
    <row r="498" spans="1:12">
      <c r="A498" t="s">
        <v>683</v>
      </c>
      <c r="B498" s="2">
        <v>45839</v>
      </c>
      <c r="C498" t="s">
        <v>1027</v>
      </c>
      <c r="D498" t="s">
        <v>1013</v>
      </c>
      <c r="E498" t="s">
        <v>1043</v>
      </c>
      <c r="F498" t="s">
        <v>1021</v>
      </c>
      <c r="G498">
        <v>2</v>
      </c>
      <c r="H498" s="4">
        <v>6000</v>
      </c>
      <c r="I498" s="4">
        <v>3600</v>
      </c>
      <c r="J498" s="4">
        <v>12000</v>
      </c>
      <c r="K498" t="s">
        <v>1059</v>
      </c>
      <c r="L498" s="5"/>
    </row>
    <row r="499" spans="1:12">
      <c r="A499" t="s">
        <v>296</v>
      </c>
      <c r="B499" s="2">
        <v>45838</v>
      </c>
      <c r="C499" t="s">
        <v>1025</v>
      </c>
      <c r="D499" t="s">
        <v>1013</v>
      </c>
      <c r="E499" t="s">
        <v>1043</v>
      </c>
      <c r="F499" t="s">
        <v>1021</v>
      </c>
      <c r="G499">
        <v>1</v>
      </c>
      <c r="H499" s="4">
        <v>6000</v>
      </c>
      <c r="I499" s="4">
        <v>1800</v>
      </c>
      <c r="J499" s="4">
        <v>6000</v>
      </c>
      <c r="K499" t="s">
        <v>1058</v>
      </c>
      <c r="L499" s="5"/>
    </row>
    <row r="500" spans="1:12">
      <c r="A500" t="s">
        <v>958</v>
      </c>
      <c r="B500" s="2">
        <v>45838</v>
      </c>
      <c r="C500" t="s">
        <v>1025</v>
      </c>
      <c r="D500" t="s">
        <v>1012</v>
      </c>
      <c r="E500" t="s">
        <v>1044</v>
      </c>
      <c r="F500" t="s">
        <v>1063</v>
      </c>
      <c r="G500">
        <v>2</v>
      </c>
      <c r="H500" s="4">
        <v>7000</v>
      </c>
      <c r="I500" s="4">
        <v>4000</v>
      </c>
      <c r="J500" s="4">
        <v>14000</v>
      </c>
      <c r="K500" t="s">
        <v>1058</v>
      </c>
      <c r="L500" s="5"/>
    </row>
    <row r="501" spans="1:12">
      <c r="A501" t="s">
        <v>702</v>
      </c>
      <c r="B501" s="2">
        <v>45837</v>
      </c>
      <c r="C501" t="s">
        <v>1026</v>
      </c>
      <c r="D501" t="s">
        <v>1013</v>
      </c>
      <c r="E501" t="s">
        <v>1044</v>
      </c>
      <c r="F501" t="s">
        <v>1014</v>
      </c>
      <c r="G501">
        <v>1</v>
      </c>
      <c r="H501" s="4">
        <v>2500</v>
      </c>
      <c r="I501" s="4">
        <v>500</v>
      </c>
      <c r="J501" s="4">
        <v>2500</v>
      </c>
      <c r="K501" t="s">
        <v>1060</v>
      </c>
      <c r="L501" s="5"/>
    </row>
    <row r="502" spans="1:12">
      <c r="A502" t="s">
        <v>69</v>
      </c>
      <c r="B502" s="2">
        <v>45836</v>
      </c>
      <c r="C502" t="s">
        <v>1027</v>
      </c>
      <c r="D502" t="s">
        <v>1013</v>
      </c>
      <c r="E502" t="s">
        <v>1044</v>
      </c>
      <c r="F502" t="s">
        <v>1063</v>
      </c>
      <c r="G502">
        <v>1</v>
      </c>
      <c r="H502" s="4">
        <v>7000</v>
      </c>
      <c r="I502" s="4">
        <v>2000</v>
      </c>
      <c r="J502" s="4">
        <v>7000</v>
      </c>
      <c r="K502" t="s">
        <v>1058</v>
      </c>
      <c r="L502" s="5"/>
    </row>
    <row r="503" spans="1:12">
      <c r="A503" t="s">
        <v>180</v>
      </c>
      <c r="B503" s="2">
        <v>45836</v>
      </c>
      <c r="C503" t="s">
        <v>1026</v>
      </c>
      <c r="D503" t="s">
        <v>1012</v>
      </c>
      <c r="E503" t="s">
        <v>1041</v>
      </c>
      <c r="F503" t="s">
        <v>1017</v>
      </c>
      <c r="G503">
        <v>2</v>
      </c>
      <c r="H503" s="4">
        <v>2500</v>
      </c>
      <c r="I503" s="4">
        <v>1400</v>
      </c>
      <c r="J503" s="4">
        <v>5000</v>
      </c>
      <c r="K503" t="s">
        <v>1058</v>
      </c>
      <c r="L503" s="5"/>
    </row>
    <row r="504" spans="1:12">
      <c r="A504" t="s">
        <v>568</v>
      </c>
      <c r="B504" s="2">
        <v>45836</v>
      </c>
      <c r="C504" t="s">
        <v>1026</v>
      </c>
      <c r="D504" t="s">
        <v>1012</v>
      </c>
      <c r="E504" t="s">
        <v>1043</v>
      </c>
      <c r="F504" t="s">
        <v>1021</v>
      </c>
      <c r="G504">
        <v>1</v>
      </c>
      <c r="H504" s="4">
        <v>6000</v>
      </c>
      <c r="I504" s="4">
        <v>1800</v>
      </c>
      <c r="J504" s="4">
        <v>6000</v>
      </c>
      <c r="K504" t="s">
        <v>1060</v>
      </c>
      <c r="L504" s="5"/>
    </row>
    <row r="505" spans="1:12">
      <c r="A505" t="s">
        <v>378</v>
      </c>
      <c r="B505" s="2">
        <v>45835</v>
      </c>
      <c r="C505" t="s">
        <v>1025</v>
      </c>
      <c r="D505" t="s">
        <v>1012</v>
      </c>
      <c r="E505" t="s">
        <v>1042</v>
      </c>
      <c r="F505" t="s">
        <v>1022</v>
      </c>
      <c r="G505">
        <v>1</v>
      </c>
      <c r="H505" s="4">
        <v>5000</v>
      </c>
      <c r="I505" s="4">
        <v>1500</v>
      </c>
      <c r="J505" s="4">
        <v>5000</v>
      </c>
      <c r="K505" t="s">
        <v>1059</v>
      </c>
      <c r="L505" s="5"/>
    </row>
    <row r="506" spans="1:12">
      <c r="A506" t="s">
        <v>700</v>
      </c>
      <c r="B506" s="2">
        <v>45835</v>
      </c>
      <c r="C506" t="s">
        <v>1026</v>
      </c>
      <c r="D506" t="s">
        <v>1013</v>
      </c>
      <c r="E506" t="s">
        <v>1041</v>
      </c>
      <c r="F506" t="s">
        <v>1017</v>
      </c>
      <c r="G506">
        <v>1</v>
      </c>
      <c r="H506" s="4">
        <v>2500</v>
      </c>
      <c r="I506" s="4">
        <v>700</v>
      </c>
      <c r="J506" s="4">
        <v>2500</v>
      </c>
      <c r="K506" t="s">
        <v>1060</v>
      </c>
      <c r="L506" s="5"/>
    </row>
    <row r="507" spans="1:12">
      <c r="A507" t="s">
        <v>961</v>
      </c>
      <c r="B507" s="2">
        <v>45835</v>
      </c>
      <c r="C507" t="s">
        <v>1026</v>
      </c>
      <c r="D507" t="s">
        <v>1013</v>
      </c>
      <c r="E507" t="s">
        <v>1043</v>
      </c>
      <c r="F507" t="s">
        <v>1021</v>
      </c>
      <c r="G507">
        <v>1</v>
      </c>
      <c r="H507" s="4">
        <v>6000</v>
      </c>
      <c r="I507" s="4">
        <v>1800</v>
      </c>
      <c r="J507" s="4">
        <v>6000</v>
      </c>
      <c r="K507" t="s">
        <v>1060</v>
      </c>
      <c r="L507" s="5"/>
    </row>
    <row r="508" spans="1:12">
      <c r="A508" t="s">
        <v>91</v>
      </c>
      <c r="B508" s="2">
        <v>45834</v>
      </c>
      <c r="C508" t="s">
        <v>1025</v>
      </c>
      <c r="D508" t="s">
        <v>1012</v>
      </c>
      <c r="E508" t="s">
        <v>1041</v>
      </c>
      <c r="F508" t="s">
        <v>1017</v>
      </c>
      <c r="G508">
        <v>2</v>
      </c>
      <c r="H508" s="4">
        <v>2500</v>
      </c>
      <c r="I508" s="4">
        <v>1400</v>
      </c>
      <c r="J508" s="4">
        <v>5000</v>
      </c>
      <c r="K508" t="s">
        <v>1058</v>
      </c>
      <c r="L508" s="5"/>
    </row>
    <row r="509" spans="1:12">
      <c r="A509" t="s">
        <v>215</v>
      </c>
      <c r="B509" s="2">
        <v>45834</v>
      </c>
      <c r="C509" t="s">
        <v>1025</v>
      </c>
      <c r="D509" t="s">
        <v>1012</v>
      </c>
      <c r="E509" t="s">
        <v>1041</v>
      </c>
      <c r="F509" t="s">
        <v>1017</v>
      </c>
      <c r="G509">
        <v>2</v>
      </c>
      <c r="H509" s="4">
        <v>2500</v>
      </c>
      <c r="I509" s="4">
        <v>1400</v>
      </c>
      <c r="J509" s="4">
        <v>5000</v>
      </c>
      <c r="K509" t="s">
        <v>1060</v>
      </c>
      <c r="L509" s="5"/>
    </row>
    <row r="510" spans="1:12">
      <c r="A510" t="s">
        <v>340</v>
      </c>
      <c r="B510" s="2">
        <v>45834</v>
      </c>
      <c r="C510" t="s">
        <v>1027</v>
      </c>
      <c r="D510" t="s">
        <v>1011</v>
      </c>
      <c r="E510" t="s">
        <v>1042</v>
      </c>
      <c r="F510" t="s">
        <v>1019</v>
      </c>
      <c r="G510">
        <v>1</v>
      </c>
      <c r="H510" s="4">
        <v>3000</v>
      </c>
      <c r="I510" s="4">
        <v>800</v>
      </c>
      <c r="J510" s="4">
        <v>3000</v>
      </c>
      <c r="K510" t="s">
        <v>1060</v>
      </c>
      <c r="L510" s="5"/>
    </row>
    <row r="511" spans="1:12">
      <c r="A511" t="s">
        <v>476</v>
      </c>
      <c r="B511" s="2">
        <v>45834</v>
      </c>
      <c r="C511" t="s">
        <v>1025</v>
      </c>
      <c r="D511" t="s">
        <v>1011</v>
      </c>
      <c r="E511" t="s">
        <v>1043</v>
      </c>
      <c r="F511" t="s">
        <v>1023</v>
      </c>
      <c r="G511">
        <v>1</v>
      </c>
      <c r="H511" s="4">
        <v>3000</v>
      </c>
      <c r="I511" s="4">
        <v>700</v>
      </c>
      <c r="J511" s="4">
        <v>3000</v>
      </c>
      <c r="K511" t="s">
        <v>1058</v>
      </c>
      <c r="L511" s="5"/>
    </row>
    <row r="512" spans="1:12">
      <c r="A512" t="s">
        <v>553</v>
      </c>
      <c r="B512" s="2">
        <v>45834</v>
      </c>
      <c r="C512" t="s">
        <v>1027</v>
      </c>
      <c r="D512" t="s">
        <v>1012</v>
      </c>
      <c r="E512" t="s">
        <v>1042</v>
      </c>
      <c r="F512" t="s">
        <v>1019</v>
      </c>
      <c r="G512">
        <v>1</v>
      </c>
      <c r="H512" s="4">
        <v>3000</v>
      </c>
      <c r="I512" s="4">
        <v>800</v>
      </c>
      <c r="J512" s="4">
        <v>3000</v>
      </c>
      <c r="K512" t="s">
        <v>1059</v>
      </c>
      <c r="L512" s="5"/>
    </row>
    <row r="513" spans="1:12">
      <c r="A513" t="s">
        <v>678</v>
      </c>
      <c r="B513" s="2">
        <v>45834</v>
      </c>
      <c r="C513" t="s">
        <v>1025</v>
      </c>
      <c r="D513" t="s">
        <v>1011</v>
      </c>
      <c r="E513" t="s">
        <v>1043</v>
      </c>
      <c r="F513" t="s">
        <v>1018</v>
      </c>
      <c r="G513">
        <v>2</v>
      </c>
      <c r="H513" s="4">
        <v>2500</v>
      </c>
      <c r="I513" s="4">
        <v>1200</v>
      </c>
      <c r="J513" s="4">
        <v>5000</v>
      </c>
      <c r="K513" t="s">
        <v>1058</v>
      </c>
      <c r="L513" s="5"/>
    </row>
    <row r="514" spans="1:12">
      <c r="A514" t="s">
        <v>747</v>
      </c>
      <c r="B514" s="2">
        <v>45834</v>
      </c>
      <c r="C514" t="s">
        <v>1027</v>
      </c>
      <c r="D514" t="s">
        <v>1012</v>
      </c>
      <c r="E514" t="s">
        <v>1043</v>
      </c>
      <c r="F514" t="s">
        <v>1023</v>
      </c>
      <c r="G514">
        <v>1</v>
      </c>
      <c r="H514" s="4">
        <v>3000</v>
      </c>
      <c r="I514" s="4">
        <v>700</v>
      </c>
      <c r="J514" s="4">
        <v>3000</v>
      </c>
      <c r="K514" t="s">
        <v>1060</v>
      </c>
      <c r="L514" s="5"/>
    </row>
    <row r="515" spans="1:12">
      <c r="A515" t="s">
        <v>995</v>
      </c>
      <c r="B515" s="2">
        <v>45834</v>
      </c>
      <c r="C515" t="s">
        <v>1027</v>
      </c>
      <c r="D515" t="s">
        <v>1012</v>
      </c>
      <c r="E515" t="s">
        <v>1043</v>
      </c>
      <c r="F515" t="s">
        <v>1018</v>
      </c>
      <c r="G515">
        <v>1</v>
      </c>
      <c r="H515" s="4">
        <v>2500</v>
      </c>
      <c r="I515" s="4">
        <v>600</v>
      </c>
      <c r="J515" s="4">
        <v>2500</v>
      </c>
      <c r="K515" t="s">
        <v>1059</v>
      </c>
      <c r="L515" s="5"/>
    </row>
    <row r="516" spans="1:12">
      <c r="A516" t="s">
        <v>555</v>
      </c>
      <c r="B516" s="2">
        <v>45833</v>
      </c>
      <c r="C516" t="s">
        <v>1026</v>
      </c>
      <c r="D516" t="s">
        <v>1013</v>
      </c>
      <c r="E516" t="s">
        <v>1044</v>
      </c>
      <c r="F516" t="s">
        <v>1062</v>
      </c>
      <c r="G516">
        <v>1</v>
      </c>
      <c r="H516" s="4">
        <v>8000</v>
      </c>
      <c r="I516" s="4">
        <v>2500</v>
      </c>
      <c r="J516" s="4">
        <v>8000</v>
      </c>
      <c r="K516" t="s">
        <v>1060</v>
      </c>
      <c r="L516" s="5"/>
    </row>
    <row r="517" spans="1:12">
      <c r="A517" t="s">
        <v>763</v>
      </c>
      <c r="B517" s="2">
        <v>45833</v>
      </c>
      <c r="C517" t="s">
        <v>1025</v>
      </c>
      <c r="D517" t="s">
        <v>1011</v>
      </c>
      <c r="E517" t="s">
        <v>1042</v>
      </c>
      <c r="F517" t="s">
        <v>1022</v>
      </c>
      <c r="G517">
        <v>1</v>
      </c>
      <c r="H517" s="4">
        <v>5000</v>
      </c>
      <c r="I517" s="4">
        <v>1500</v>
      </c>
      <c r="J517" s="4">
        <v>5000</v>
      </c>
      <c r="K517" t="s">
        <v>1059</v>
      </c>
      <c r="L517" s="5"/>
    </row>
    <row r="518" spans="1:12">
      <c r="A518" t="s">
        <v>689</v>
      </c>
      <c r="B518" s="2">
        <v>45832</v>
      </c>
      <c r="C518" t="s">
        <v>1025</v>
      </c>
      <c r="D518" t="s">
        <v>1013</v>
      </c>
      <c r="E518" t="s">
        <v>1042</v>
      </c>
      <c r="F518" t="s">
        <v>1019</v>
      </c>
      <c r="G518">
        <v>1</v>
      </c>
      <c r="H518" s="4">
        <v>3000</v>
      </c>
      <c r="I518" s="4">
        <v>800</v>
      </c>
      <c r="J518" s="4">
        <v>3000</v>
      </c>
      <c r="K518" t="s">
        <v>1058</v>
      </c>
      <c r="L518" s="5"/>
    </row>
    <row r="519" spans="1:12">
      <c r="A519" t="s">
        <v>825</v>
      </c>
      <c r="B519" s="2">
        <v>45832</v>
      </c>
      <c r="C519" t="s">
        <v>1026</v>
      </c>
      <c r="D519" t="s">
        <v>1013</v>
      </c>
      <c r="E519" t="s">
        <v>1042</v>
      </c>
      <c r="F519" t="s">
        <v>1015</v>
      </c>
      <c r="G519">
        <v>2</v>
      </c>
      <c r="H519" s="4">
        <v>4000</v>
      </c>
      <c r="I519" s="4">
        <v>2000</v>
      </c>
      <c r="J519" s="4">
        <v>8000</v>
      </c>
      <c r="K519" t="s">
        <v>1059</v>
      </c>
      <c r="L519" s="5"/>
    </row>
    <row r="520" spans="1:12">
      <c r="A520" t="s">
        <v>828</v>
      </c>
      <c r="B520" s="2">
        <v>45832</v>
      </c>
      <c r="C520" t="s">
        <v>1026</v>
      </c>
      <c r="D520" t="s">
        <v>1011</v>
      </c>
      <c r="E520" t="s">
        <v>1044</v>
      </c>
      <c r="F520" t="s">
        <v>1014</v>
      </c>
      <c r="G520">
        <v>1</v>
      </c>
      <c r="H520" s="4">
        <v>2500</v>
      </c>
      <c r="I520" s="4">
        <v>500</v>
      </c>
      <c r="J520" s="4">
        <v>2500</v>
      </c>
      <c r="K520" t="s">
        <v>1058</v>
      </c>
      <c r="L520" s="5"/>
    </row>
    <row r="521" spans="1:12">
      <c r="A521" t="s">
        <v>964</v>
      </c>
      <c r="B521" s="2">
        <v>45832</v>
      </c>
      <c r="C521" t="s">
        <v>1027</v>
      </c>
      <c r="D521" t="s">
        <v>1011</v>
      </c>
      <c r="E521" t="s">
        <v>1043</v>
      </c>
      <c r="F521" t="s">
        <v>1018</v>
      </c>
      <c r="G521">
        <v>1</v>
      </c>
      <c r="H521" s="4">
        <v>2500</v>
      </c>
      <c r="I521" s="4">
        <v>600</v>
      </c>
      <c r="J521" s="4">
        <v>2500</v>
      </c>
      <c r="K521" t="s">
        <v>1058</v>
      </c>
      <c r="L521" s="5"/>
    </row>
    <row r="522" spans="1:12">
      <c r="A522" t="s">
        <v>204</v>
      </c>
      <c r="B522" s="2">
        <v>45831</v>
      </c>
      <c r="C522" t="s">
        <v>1025</v>
      </c>
      <c r="D522" t="s">
        <v>1011</v>
      </c>
      <c r="E522" t="s">
        <v>1043</v>
      </c>
      <c r="F522" t="s">
        <v>1023</v>
      </c>
      <c r="G522">
        <v>1</v>
      </c>
      <c r="H522" s="4">
        <v>3000</v>
      </c>
      <c r="I522" s="4">
        <v>700</v>
      </c>
      <c r="J522" s="4">
        <v>3000</v>
      </c>
      <c r="K522" t="s">
        <v>1058</v>
      </c>
      <c r="L522" s="5"/>
    </row>
    <row r="523" spans="1:12">
      <c r="A523" t="s">
        <v>832</v>
      </c>
      <c r="B523" s="2">
        <v>45831</v>
      </c>
      <c r="C523" t="s">
        <v>1027</v>
      </c>
      <c r="D523" t="s">
        <v>1012</v>
      </c>
      <c r="E523" t="s">
        <v>1042</v>
      </c>
      <c r="F523" t="s">
        <v>1019</v>
      </c>
      <c r="G523">
        <v>1</v>
      </c>
      <c r="H523" s="4">
        <v>3000</v>
      </c>
      <c r="I523" s="4">
        <v>800</v>
      </c>
      <c r="J523" s="4">
        <v>3000</v>
      </c>
      <c r="K523" t="s">
        <v>1059</v>
      </c>
      <c r="L523" s="5"/>
    </row>
    <row r="524" spans="1:12">
      <c r="A524" t="s">
        <v>966</v>
      </c>
      <c r="B524" s="2">
        <v>45831</v>
      </c>
      <c r="C524" t="s">
        <v>1026</v>
      </c>
      <c r="D524" t="s">
        <v>1011</v>
      </c>
      <c r="E524" t="s">
        <v>1043</v>
      </c>
      <c r="F524" t="s">
        <v>1023</v>
      </c>
      <c r="G524">
        <v>1</v>
      </c>
      <c r="H524" s="4">
        <v>3000</v>
      </c>
      <c r="I524" s="4">
        <v>700</v>
      </c>
      <c r="J524" s="4">
        <v>3000</v>
      </c>
      <c r="K524" t="s">
        <v>1058</v>
      </c>
      <c r="L524" s="5"/>
    </row>
    <row r="525" spans="1:12">
      <c r="A525" t="s">
        <v>126</v>
      </c>
      <c r="B525" s="2">
        <v>45830</v>
      </c>
      <c r="C525" t="s">
        <v>1026</v>
      </c>
      <c r="D525" t="s">
        <v>1012</v>
      </c>
      <c r="E525" t="s">
        <v>1043</v>
      </c>
      <c r="F525" t="s">
        <v>1023</v>
      </c>
      <c r="G525">
        <v>1</v>
      </c>
      <c r="H525" s="4">
        <v>3000</v>
      </c>
      <c r="I525" s="4">
        <v>700</v>
      </c>
      <c r="J525" s="4">
        <v>3000</v>
      </c>
      <c r="K525" t="s">
        <v>1058</v>
      </c>
      <c r="L525" s="5"/>
    </row>
    <row r="526" spans="1:12">
      <c r="A526" t="s">
        <v>649</v>
      </c>
      <c r="B526" s="2">
        <v>45829</v>
      </c>
      <c r="C526" t="s">
        <v>1027</v>
      </c>
      <c r="D526" t="s">
        <v>1011</v>
      </c>
      <c r="E526" t="s">
        <v>1044</v>
      </c>
      <c r="F526" t="s">
        <v>1062</v>
      </c>
      <c r="G526">
        <v>1</v>
      </c>
      <c r="H526" s="4">
        <v>8000</v>
      </c>
      <c r="I526" s="4">
        <v>2500</v>
      </c>
      <c r="J526" s="4">
        <v>8000</v>
      </c>
      <c r="K526" t="s">
        <v>1058</v>
      </c>
      <c r="L526" s="5"/>
    </row>
    <row r="527" spans="1:12">
      <c r="A527" t="s">
        <v>84</v>
      </c>
      <c r="B527" s="2">
        <v>45828</v>
      </c>
      <c r="C527" t="s">
        <v>1026</v>
      </c>
      <c r="D527" t="s">
        <v>1011</v>
      </c>
      <c r="E527" t="s">
        <v>1041</v>
      </c>
      <c r="F527" t="s">
        <v>1061</v>
      </c>
      <c r="G527">
        <v>1</v>
      </c>
      <c r="H527" s="4">
        <v>5000</v>
      </c>
      <c r="I527" s="4">
        <v>1500</v>
      </c>
      <c r="J527" s="4">
        <v>5000</v>
      </c>
      <c r="K527" t="s">
        <v>1060</v>
      </c>
      <c r="L527" s="5"/>
    </row>
    <row r="528" spans="1:12">
      <c r="A528" t="s">
        <v>307</v>
      </c>
      <c r="B528" s="2">
        <v>45828</v>
      </c>
      <c r="C528" t="s">
        <v>1027</v>
      </c>
      <c r="D528" t="s">
        <v>1011</v>
      </c>
      <c r="E528" t="s">
        <v>1043</v>
      </c>
      <c r="F528" t="s">
        <v>1021</v>
      </c>
      <c r="G528">
        <v>1</v>
      </c>
      <c r="H528" s="4">
        <v>6000</v>
      </c>
      <c r="I528" s="4">
        <v>1800</v>
      </c>
      <c r="J528" s="4">
        <v>6000</v>
      </c>
      <c r="K528" t="s">
        <v>1060</v>
      </c>
      <c r="L528" s="5"/>
    </row>
    <row r="529" spans="1:12">
      <c r="A529" t="s">
        <v>409</v>
      </c>
      <c r="B529" s="2">
        <v>45827</v>
      </c>
      <c r="C529" t="s">
        <v>1025</v>
      </c>
      <c r="D529" t="s">
        <v>1013</v>
      </c>
      <c r="E529" t="s">
        <v>1041</v>
      </c>
      <c r="F529" t="s">
        <v>1061</v>
      </c>
      <c r="G529">
        <v>1</v>
      </c>
      <c r="H529" s="4">
        <v>5000</v>
      </c>
      <c r="I529" s="4">
        <v>1500</v>
      </c>
      <c r="J529" s="4">
        <v>5000</v>
      </c>
      <c r="K529" t="s">
        <v>1058</v>
      </c>
      <c r="L529" s="5"/>
    </row>
    <row r="530" spans="1:12">
      <c r="A530" t="s">
        <v>550</v>
      </c>
      <c r="B530" s="2">
        <v>45827</v>
      </c>
      <c r="C530" t="s">
        <v>1026</v>
      </c>
      <c r="D530" t="s">
        <v>1013</v>
      </c>
      <c r="E530" t="s">
        <v>1042</v>
      </c>
      <c r="F530" t="s">
        <v>1015</v>
      </c>
      <c r="G530">
        <v>2</v>
      </c>
      <c r="H530" s="4">
        <v>4000</v>
      </c>
      <c r="I530" s="4">
        <v>2000</v>
      </c>
      <c r="J530" s="4">
        <v>8000</v>
      </c>
      <c r="K530" t="s">
        <v>1059</v>
      </c>
      <c r="L530" s="5"/>
    </row>
    <row r="531" spans="1:12">
      <c r="A531" t="s">
        <v>768</v>
      </c>
      <c r="B531" s="2">
        <v>45827</v>
      </c>
      <c r="C531" t="s">
        <v>1026</v>
      </c>
      <c r="D531" t="s">
        <v>1012</v>
      </c>
      <c r="E531" t="s">
        <v>1044</v>
      </c>
      <c r="F531" t="s">
        <v>1063</v>
      </c>
      <c r="G531">
        <v>2</v>
      </c>
      <c r="H531" s="4">
        <v>7000</v>
      </c>
      <c r="I531" s="4">
        <v>4000</v>
      </c>
      <c r="J531" s="4">
        <v>14000</v>
      </c>
      <c r="K531" t="s">
        <v>1060</v>
      </c>
      <c r="L531" s="5"/>
    </row>
    <row r="532" spans="1:12">
      <c r="A532" t="s">
        <v>798</v>
      </c>
      <c r="B532" s="2">
        <v>45827</v>
      </c>
      <c r="C532" t="s">
        <v>1027</v>
      </c>
      <c r="D532" t="s">
        <v>1013</v>
      </c>
      <c r="E532" t="s">
        <v>1044</v>
      </c>
      <c r="F532" t="s">
        <v>1014</v>
      </c>
      <c r="G532">
        <v>2</v>
      </c>
      <c r="H532" s="4">
        <v>2500</v>
      </c>
      <c r="I532" s="4">
        <v>1000</v>
      </c>
      <c r="J532" s="4">
        <v>5000</v>
      </c>
      <c r="K532" t="s">
        <v>1059</v>
      </c>
      <c r="L532" s="5"/>
    </row>
    <row r="533" spans="1:12">
      <c r="A533" t="s">
        <v>892</v>
      </c>
      <c r="B533" s="2">
        <v>45827</v>
      </c>
      <c r="C533" t="s">
        <v>1026</v>
      </c>
      <c r="D533" t="s">
        <v>1013</v>
      </c>
      <c r="E533" t="s">
        <v>1043</v>
      </c>
      <c r="F533" t="s">
        <v>1021</v>
      </c>
      <c r="G533">
        <v>2</v>
      </c>
      <c r="H533" s="4">
        <v>6000</v>
      </c>
      <c r="I533" s="4">
        <v>3600</v>
      </c>
      <c r="J533" s="4">
        <v>12000</v>
      </c>
      <c r="K533" t="s">
        <v>1060</v>
      </c>
      <c r="L533" s="5"/>
    </row>
    <row r="534" spans="1:12">
      <c r="A534" t="s">
        <v>88</v>
      </c>
      <c r="B534" s="2">
        <v>45826</v>
      </c>
      <c r="C534" t="s">
        <v>1026</v>
      </c>
      <c r="D534" t="s">
        <v>1013</v>
      </c>
      <c r="E534" t="s">
        <v>1044</v>
      </c>
      <c r="F534" t="s">
        <v>1014</v>
      </c>
      <c r="G534">
        <v>2</v>
      </c>
      <c r="H534" s="4">
        <v>2500</v>
      </c>
      <c r="I534" s="4">
        <v>1000</v>
      </c>
      <c r="J534" s="4">
        <v>5000</v>
      </c>
      <c r="K534" t="s">
        <v>1058</v>
      </c>
      <c r="L534" s="5"/>
    </row>
    <row r="535" spans="1:12">
      <c r="A535" t="s">
        <v>205</v>
      </c>
      <c r="B535" s="2">
        <v>45826</v>
      </c>
      <c r="C535" t="s">
        <v>1025</v>
      </c>
      <c r="D535" t="s">
        <v>1011</v>
      </c>
      <c r="E535" t="s">
        <v>1042</v>
      </c>
      <c r="F535" t="s">
        <v>1015</v>
      </c>
      <c r="G535">
        <v>1</v>
      </c>
      <c r="H535" s="4">
        <v>4000</v>
      </c>
      <c r="I535" s="4">
        <v>1000</v>
      </c>
      <c r="J535" s="4">
        <v>4000</v>
      </c>
      <c r="K535" t="s">
        <v>1058</v>
      </c>
      <c r="L535" s="5"/>
    </row>
    <row r="536" spans="1:12">
      <c r="A536" t="s">
        <v>245</v>
      </c>
      <c r="B536" s="2">
        <v>45826</v>
      </c>
      <c r="C536" t="s">
        <v>1027</v>
      </c>
      <c r="D536" t="s">
        <v>1011</v>
      </c>
      <c r="E536" t="s">
        <v>1044</v>
      </c>
      <c r="F536" t="s">
        <v>1014</v>
      </c>
      <c r="G536">
        <v>1</v>
      </c>
      <c r="H536" s="4">
        <v>2500</v>
      </c>
      <c r="I536" s="4">
        <v>500</v>
      </c>
      <c r="J536" s="4">
        <v>2500</v>
      </c>
      <c r="K536" t="s">
        <v>1059</v>
      </c>
      <c r="L536" s="5"/>
    </row>
    <row r="537" spans="1:12">
      <c r="A537" t="s">
        <v>443</v>
      </c>
      <c r="B537" s="2">
        <v>45826</v>
      </c>
      <c r="C537" t="s">
        <v>1026</v>
      </c>
      <c r="D537" t="s">
        <v>1011</v>
      </c>
      <c r="E537" t="s">
        <v>1042</v>
      </c>
      <c r="F537" t="s">
        <v>1019</v>
      </c>
      <c r="G537">
        <v>1</v>
      </c>
      <c r="H537" s="4">
        <v>3000</v>
      </c>
      <c r="I537" s="4">
        <v>800</v>
      </c>
      <c r="J537" s="4">
        <v>3000</v>
      </c>
      <c r="K537" t="s">
        <v>1060</v>
      </c>
      <c r="L537" s="5"/>
    </row>
    <row r="538" spans="1:12">
      <c r="A538" t="s">
        <v>536</v>
      </c>
      <c r="B538" s="2">
        <v>45826</v>
      </c>
      <c r="C538" t="s">
        <v>1026</v>
      </c>
      <c r="D538" t="s">
        <v>1012</v>
      </c>
      <c r="E538" t="s">
        <v>1043</v>
      </c>
      <c r="F538" t="s">
        <v>1021</v>
      </c>
      <c r="G538">
        <v>2</v>
      </c>
      <c r="H538" s="4">
        <v>6000</v>
      </c>
      <c r="I538" s="4">
        <v>3600</v>
      </c>
      <c r="J538" s="4">
        <v>12000</v>
      </c>
      <c r="K538" t="s">
        <v>1058</v>
      </c>
      <c r="L538" s="5"/>
    </row>
    <row r="539" spans="1:12">
      <c r="A539" t="s">
        <v>805</v>
      </c>
      <c r="B539" s="2">
        <v>45826</v>
      </c>
      <c r="C539" t="s">
        <v>1026</v>
      </c>
      <c r="D539" t="s">
        <v>1012</v>
      </c>
      <c r="E539" t="s">
        <v>1042</v>
      </c>
      <c r="F539" t="s">
        <v>1015</v>
      </c>
      <c r="G539">
        <v>1</v>
      </c>
      <c r="H539" s="4">
        <v>4000</v>
      </c>
      <c r="I539" s="4">
        <v>1000</v>
      </c>
      <c r="J539" s="4">
        <v>4000</v>
      </c>
      <c r="K539" t="s">
        <v>1060</v>
      </c>
      <c r="L539" s="5"/>
    </row>
    <row r="540" spans="1:12">
      <c r="A540" t="s">
        <v>406</v>
      </c>
      <c r="B540" s="2">
        <v>45825</v>
      </c>
      <c r="C540" t="s">
        <v>1025</v>
      </c>
      <c r="D540" t="s">
        <v>1012</v>
      </c>
      <c r="E540" t="s">
        <v>1043</v>
      </c>
      <c r="F540" t="s">
        <v>1021</v>
      </c>
      <c r="G540">
        <v>1</v>
      </c>
      <c r="H540" s="4">
        <v>6000</v>
      </c>
      <c r="I540" s="4">
        <v>1800</v>
      </c>
      <c r="J540" s="4">
        <v>6000</v>
      </c>
      <c r="K540" t="s">
        <v>1059</v>
      </c>
      <c r="L540" s="5"/>
    </row>
    <row r="541" spans="1:12">
      <c r="A541" t="s">
        <v>209</v>
      </c>
      <c r="B541" s="2">
        <v>45824</v>
      </c>
      <c r="C541" t="s">
        <v>1027</v>
      </c>
      <c r="D541" t="s">
        <v>1012</v>
      </c>
      <c r="E541" t="s">
        <v>1041</v>
      </c>
      <c r="F541" t="s">
        <v>1061</v>
      </c>
      <c r="G541">
        <v>1</v>
      </c>
      <c r="H541" s="4">
        <v>5000</v>
      </c>
      <c r="I541" s="4">
        <v>1500</v>
      </c>
      <c r="J541" s="4">
        <v>5000</v>
      </c>
      <c r="K541" t="s">
        <v>1058</v>
      </c>
      <c r="L541" s="5"/>
    </row>
    <row r="542" spans="1:12">
      <c r="A542" t="s">
        <v>141</v>
      </c>
      <c r="B542" s="2">
        <v>45823</v>
      </c>
      <c r="C542" t="s">
        <v>1027</v>
      </c>
      <c r="D542" t="s">
        <v>1013</v>
      </c>
      <c r="E542" t="s">
        <v>1044</v>
      </c>
      <c r="F542" t="s">
        <v>1020</v>
      </c>
      <c r="G542">
        <v>1</v>
      </c>
      <c r="H542" s="4">
        <v>7500</v>
      </c>
      <c r="I542" s="4">
        <v>2200</v>
      </c>
      <c r="J542" s="4">
        <v>7500</v>
      </c>
      <c r="K542" t="s">
        <v>1058</v>
      </c>
      <c r="L542" s="5"/>
    </row>
    <row r="543" spans="1:12">
      <c r="A543" t="s">
        <v>352</v>
      </c>
      <c r="B543" s="2">
        <v>45822</v>
      </c>
      <c r="C543" t="s">
        <v>1027</v>
      </c>
      <c r="D543" t="s">
        <v>1013</v>
      </c>
      <c r="E543" t="s">
        <v>1043</v>
      </c>
      <c r="F543" t="s">
        <v>1018</v>
      </c>
      <c r="G543">
        <v>1</v>
      </c>
      <c r="H543" s="4">
        <v>2500</v>
      </c>
      <c r="I543" s="4">
        <v>600</v>
      </c>
      <c r="J543" s="4">
        <v>2500</v>
      </c>
      <c r="K543" t="s">
        <v>1058</v>
      </c>
      <c r="L543" s="5"/>
    </row>
    <row r="544" spans="1:12">
      <c r="A544" t="s">
        <v>491</v>
      </c>
      <c r="B544" s="2">
        <v>45821</v>
      </c>
      <c r="C544" t="s">
        <v>1027</v>
      </c>
      <c r="D544" t="s">
        <v>1012</v>
      </c>
      <c r="E544" t="s">
        <v>1042</v>
      </c>
      <c r="F544" t="s">
        <v>1019</v>
      </c>
      <c r="G544">
        <v>2</v>
      </c>
      <c r="H544" s="4">
        <v>3000</v>
      </c>
      <c r="I544" s="4">
        <v>1600</v>
      </c>
      <c r="J544" s="4">
        <v>6000</v>
      </c>
      <c r="K544" t="s">
        <v>1058</v>
      </c>
      <c r="L544" s="5"/>
    </row>
    <row r="545" spans="1:12">
      <c r="A545" t="s">
        <v>557</v>
      </c>
      <c r="B545" s="2">
        <v>45821</v>
      </c>
      <c r="C545" t="s">
        <v>1027</v>
      </c>
      <c r="D545" t="s">
        <v>1012</v>
      </c>
      <c r="E545" t="s">
        <v>1042</v>
      </c>
      <c r="F545" t="s">
        <v>1022</v>
      </c>
      <c r="G545">
        <v>2</v>
      </c>
      <c r="H545" s="4">
        <v>5000</v>
      </c>
      <c r="I545" s="4">
        <v>3000</v>
      </c>
      <c r="J545" s="4">
        <v>10000</v>
      </c>
      <c r="K545" t="s">
        <v>1059</v>
      </c>
      <c r="L545" s="5"/>
    </row>
    <row r="546" spans="1:12">
      <c r="A546" t="s">
        <v>421</v>
      </c>
      <c r="B546" s="2">
        <v>45820</v>
      </c>
      <c r="C546" t="s">
        <v>1026</v>
      </c>
      <c r="D546" t="s">
        <v>1012</v>
      </c>
      <c r="E546" t="s">
        <v>1044</v>
      </c>
      <c r="F546" t="s">
        <v>1014</v>
      </c>
      <c r="G546">
        <v>2</v>
      </c>
      <c r="H546" s="4">
        <v>2500</v>
      </c>
      <c r="I546" s="4">
        <v>1000</v>
      </c>
      <c r="J546" s="4">
        <v>5000</v>
      </c>
      <c r="K546" t="s">
        <v>1060</v>
      </c>
      <c r="L546" s="5"/>
    </row>
    <row r="547" spans="1:12">
      <c r="A547" t="s">
        <v>67</v>
      </c>
      <c r="B547" s="2">
        <v>45819</v>
      </c>
      <c r="C547" t="s">
        <v>1027</v>
      </c>
      <c r="D547" t="s">
        <v>1013</v>
      </c>
      <c r="E547" t="s">
        <v>1044</v>
      </c>
      <c r="F547" t="s">
        <v>1063</v>
      </c>
      <c r="G547">
        <v>2</v>
      </c>
      <c r="H547" s="4">
        <v>7000</v>
      </c>
      <c r="I547" s="4">
        <v>4000</v>
      </c>
      <c r="J547" s="4">
        <v>14000</v>
      </c>
      <c r="K547" t="s">
        <v>1058</v>
      </c>
      <c r="L547" s="5"/>
    </row>
    <row r="548" spans="1:12">
      <c r="A548" t="s">
        <v>152</v>
      </c>
      <c r="B548" s="2">
        <v>45819</v>
      </c>
      <c r="C548" t="s">
        <v>1027</v>
      </c>
      <c r="D548" t="s">
        <v>1011</v>
      </c>
      <c r="E548" t="s">
        <v>1041</v>
      </c>
      <c r="F548" t="s">
        <v>1017</v>
      </c>
      <c r="G548">
        <v>1</v>
      </c>
      <c r="H548" s="4">
        <v>2500</v>
      </c>
      <c r="I548" s="4">
        <v>700</v>
      </c>
      <c r="J548" s="4">
        <v>2500</v>
      </c>
      <c r="K548" t="s">
        <v>1060</v>
      </c>
      <c r="L548" s="5"/>
    </row>
    <row r="549" spans="1:12">
      <c r="A549" t="s">
        <v>183</v>
      </c>
      <c r="B549" s="2">
        <v>45819</v>
      </c>
      <c r="C549" t="s">
        <v>1026</v>
      </c>
      <c r="D549" t="s">
        <v>1012</v>
      </c>
      <c r="E549" t="s">
        <v>1043</v>
      </c>
      <c r="F549" t="s">
        <v>1023</v>
      </c>
      <c r="G549">
        <v>1</v>
      </c>
      <c r="H549" s="4">
        <v>3000</v>
      </c>
      <c r="I549" s="4">
        <v>700</v>
      </c>
      <c r="J549" s="4">
        <v>3000</v>
      </c>
      <c r="K549" t="s">
        <v>1059</v>
      </c>
      <c r="L549" s="5"/>
    </row>
    <row r="550" spans="1:12">
      <c r="A550" t="s">
        <v>574</v>
      </c>
      <c r="B550" s="2">
        <v>45819</v>
      </c>
      <c r="C550" t="s">
        <v>1026</v>
      </c>
      <c r="D550" t="s">
        <v>1011</v>
      </c>
      <c r="E550" t="s">
        <v>1041</v>
      </c>
      <c r="F550" t="s">
        <v>1016</v>
      </c>
      <c r="G550">
        <v>1</v>
      </c>
      <c r="H550" s="4">
        <v>3000</v>
      </c>
      <c r="I550" s="4">
        <v>800</v>
      </c>
      <c r="J550" s="4">
        <v>3000</v>
      </c>
      <c r="K550" t="s">
        <v>1059</v>
      </c>
      <c r="L550" s="5"/>
    </row>
    <row r="551" spans="1:12">
      <c r="A551" t="s">
        <v>773</v>
      </c>
      <c r="B551" s="2">
        <v>45819</v>
      </c>
      <c r="C551" t="s">
        <v>1025</v>
      </c>
      <c r="D551" t="s">
        <v>1013</v>
      </c>
      <c r="E551" t="s">
        <v>1043</v>
      </c>
      <c r="F551" t="s">
        <v>1023</v>
      </c>
      <c r="G551">
        <v>1</v>
      </c>
      <c r="H551" s="4">
        <v>3000</v>
      </c>
      <c r="I551" s="4">
        <v>700</v>
      </c>
      <c r="J551" s="4">
        <v>3000</v>
      </c>
      <c r="K551" t="s">
        <v>1059</v>
      </c>
      <c r="L551" s="5"/>
    </row>
    <row r="552" spans="1:12">
      <c r="A552" t="s">
        <v>896</v>
      </c>
      <c r="B552" s="2">
        <v>45819</v>
      </c>
      <c r="C552" t="s">
        <v>1026</v>
      </c>
      <c r="D552" t="s">
        <v>1013</v>
      </c>
      <c r="E552" t="s">
        <v>1043</v>
      </c>
      <c r="F552" t="s">
        <v>1021</v>
      </c>
      <c r="G552">
        <v>1</v>
      </c>
      <c r="H552" s="4">
        <v>6000</v>
      </c>
      <c r="I552" s="4">
        <v>1800</v>
      </c>
      <c r="J552" s="4">
        <v>6000</v>
      </c>
      <c r="K552" t="s">
        <v>1059</v>
      </c>
      <c r="L552" s="5"/>
    </row>
    <row r="553" spans="1:12">
      <c r="A553" t="s">
        <v>60</v>
      </c>
      <c r="B553" s="2">
        <v>45818</v>
      </c>
      <c r="C553" t="s">
        <v>1027</v>
      </c>
      <c r="D553" t="s">
        <v>1013</v>
      </c>
      <c r="E553" t="s">
        <v>1041</v>
      </c>
      <c r="F553" t="s">
        <v>1061</v>
      </c>
      <c r="G553">
        <v>1</v>
      </c>
      <c r="H553" s="4">
        <v>5000</v>
      </c>
      <c r="I553" s="4">
        <v>1500</v>
      </c>
      <c r="J553" s="4">
        <v>5000</v>
      </c>
      <c r="K553" t="s">
        <v>1060</v>
      </c>
      <c r="L553" s="5"/>
    </row>
    <row r="554" spans="1:12">
      <c r="A554" t="s">
        <v>260</v>
      </c>
      <c r="B554" s="2">
        <v>45818</v>
      </c>
      <c r="C554" t="s">
        <v>1025</v>
      </c>
      <c r="D554" t="s">
        <v>1012</v>
      </c>
      <c r="E554" t="s">
        <v>1044</v>
      </c>
      <c r="F554" t="s">
        <v>1062</v>
      </c>
      <c r="G554">
        <v>2</v>
      </c>
      <c r="H554" s="4">
        <v>8000</v>
      </c>
      <c r="I554" s="4">
        <v>5000</v>
      </c>
      <c r="J554" s="4">
        <v>16000</v>
      </c>
      <c r="K554" t="s">
        <v>1058</v>
      </c>
      <c r="L554" s="5"/>
    </row>
    <row r="555" spans="1:12">
      <c r="A555" t="s">
        <v>388</v>
      </c>
      <c r="B555" s="2">
        <v>45818</v>
      </c>
      <c r="C555" t="s">
        <v>1025</v>
      </c>
      <c r="D555" t="s">
        <v>1012</v>
      </c>
      <c r="E555" t="s">
        <v>1043</v>
      </c>
      <c r="F555" t="s">
        <v>1021</v>
      </c>
      <c r="G555">
        <v>1</v>
      </c>
      <c r="H555" s="4">
        <v>6000</v>
      </c>
      <c r="I555" s="4">
        <v>1800</v>
      </c>
      <c r="J555" s="4">
        <v>6000</v>
      </c>
      <c r="K555" t="s">
        <v>1060</v>
      </c>
      <c r="L555" s="5"/>
    </row>
    <row r="556" spans="1:12">
      <c r="A556" t="s">
        <v>538</v>
      </c>
      <c r="B556" s="2">
        <v>45818</v>
      </c>
      <c r="C556" t="s">
        <v>1027</v>
      </c>
      <c r="D556" t="s">
        <v>1012</v>
      </c>
      <c r="E556" t="s">
        <v>1044</v>
      </c>
      <c r="F556" t="s">
        <v>1014</v>
      </c>
      <c r="G556">
        <v>2</v>
      </c>
      <c r="H556" s="4">
        <v>2500</v>
      </c>
      <c r="I556" s="4">
        <v>1000</v>
      </c>
      <c r="J556" s="4">
        <v>5000</v>
      </c>
      <c r="K556" t="s">
        <v>1058</v>
      </c>
      <c r="L556" s="5"/>
    </row>
    <row r="557" spans="1:12">
      <c r="A557" t="s">
        <v>273</v>
      </c>
      <c r="B557" s="2">
        <v>45817</v>
      </c>
      <c r="C557" t="s">
        <v>1025</v>
      </c>
      <c r="D557" t="s">
        <v>1012</v>
      </c>
      <c r="E557" t="s">
        <v>1041</v>
      </c>
      <c r="F557" t="s">
        <v>1016</v>
      </c>
      <c r="G557">
        <v>1</v>
      </c>
      <c r="H557" s="4">
        <v>3000</v>
      </c>
      <c r="I557" s="4">
        <v>800</v>
      </c>
      <c r="J557" s="4">
        <v>3000</v>
      </c>
      <c r="K557" t="s">
        <v>1060</v>
      </c>
      <c r="L557" s="5"/>
    </row>
    <row r="558" spans="1:12">
      <c r="A558" t="s">
        <v>736</v>
      </c>
      <c r="B558" s="2">
        <v>45817</v>
      </c>
      <c r="C558" t="s">
        <v>1026</v>
      </c>
      <c r="D558" t="s">
        <v>1012</v>
      </c>
      <c r="E558" t="s">
        <v>1044</v>
      </c>
      <c r="F558" t="s">
        <v>1062</v>
      </c>
      <c r="G558">
        <v>1</v>
      </c>
      <c r="H558" s="4">
        <v>8000</v>
      </c>
      <c r="I558" s="4">
        <v>2500</v>
      </c>
      <c r="J558" s="4">
        <v>8000</v>
      </c>
      <c r="K558" t="s">
        <v>1060</v>
      </c>
      <c r="L558" s="5"/>
    </row>
    <row r="559" spans="1:12">
      <c r="A559" t="s">
        <v>308</v>
      </c>
      <c r="B559" s="2">
        <v>45816</v>
      </c>
      <c r="C559" t="s">
        <v>1025</v>
      </c>
      <c r="D559" t="s">
        <v>1011</v>
      </c>
      <c r="E559" t="s">
        <v>1041</v>
      </c>
      <c r="F559" t="s">
        <v>1016</v>
      </c>
      <c r="G559">
        <v>1</v>
      </c>
      <c r="H559" s="4">
        <v>3000</v>
      </c>
      <c r="I559" s="4">
        <v>800</v>
      </c>
      <c r="J559" s="4">
        <v>3000</v>
      </c>
      <c r="K559" t="s">
        <v>1060</v>
      </c>
      <c r="L559" s="5"/>
    </row>
    <row r="560" spans="1:12">
      <c r="A560" t="s">
        <v>372</v>
      </c>
      <c r="B560" s="2">
        <v>45816</v>
      </c>
      <c r="C560" t="s">
        <v>1026</v>
      </c>
      <c r="D560" t="s">
        <v>1011</v>
      </c>
      <c r="E560" t="s">
        <v>1041</v>
      </c>
      <c r="F560" t="s">
        <v>1017</v>
      </c>
      <c r="G560">
        <v>1</v>
      </c>
      <c r="H560" s="4">
        <v>2500</v>
      </c>
      <c r="I560" s="4">
        <v>700</v>
      </c>
      <c r="J560" s="4">
        <v>2500</v>
      </c>
      <c r="K560" t="s">
        <v>1060</v>
      </c>
      <c r="L560" s="5"/>
    </row>
    <row r="561" spans="1:12">
      <c r="A561" t="s">
        <v>628</v>
      </c>
      <c r="B561" s="2">
        <v>45816</v>
      </c>
      <c r="C561" t="s">
        <v>1025</v>
      </c>
      <c r="D561" t="s">
        <v>1012</v>
      </c>
      <c r="E561" t="s">
        <v>1043</v>
      </c>
      <c r="F561" t="s">
        <v>1021</v>
      </c>
      <c r="G561">
        <v>1</v>
      </c>
      <c r="H561" s="4">
        <v>6000</v>
      </c>
      <c r="I561" s="4">
        <v>1800</v>
      </c>
      <c r="J561" s="4">
        <v>6000</v>
      </c>
      <c r="K561" t="s">
        <v>1060</v>
      </c>
      <c r="L561" s="5"/>
    </row>
    <row r="562" spans="1:12">
      <c r="A562" t="s">
        <v>630</v>
      </c>
      <c r="B562" s="2">
        <v>45816</v>
      </c>
      <c r="C562" t="s">
        <v>1025</v>
      </c>
      <c r="D562" t="s">
        <v>1011</v>
      </c>
      <c r="E562" t="s">
        <v>1043</v>
      </c>
      <c r="F562" t="s">
        <v>1023</v>
      </c>
      <c r="G562">
        <v>1</v>
      </c>
      <c r="H562" s="4">
        <v>3000</v>
      </c>
      <c r="I562" s="4">
        <v>700</v>
      </c>
      <c r="J562" s="4">
        <v>3000</v>
      </c>
      <c r="K562" t="s">
        <v>1060</v>
      </c>
      <c r="L562" s="5"/>
    </row>
    <row r="563" spans="1:12">
      <c r="A563" t="s">
        <v>394</v>
      </c>
      <c r="B563" s="2">
        <v>45815</v>
      </c>
      <c r="C563" t="s">
        <v>1026</v>
      </c>
      <c r="D563" t="s">
        <v>1013</v>
      </c>
      <c r="E563" t="s">
        <v>1043</v>
      </c>
      <c r="F563" t="s">
        <v>1023</v>
      </c>
      <c r="G563">
        <v>2</v>
      </c>
      <c r="H563" s="4">
        <v>3000</v>
      </c>
      <c r="I563" s="4">
        <v>1400</v>
      </c>
      <c r="J563" s="4">
        <v>6000</v>
      </c>
      <c r="K563" t="s">
        <v>1059</v>
      </c>
      <c r="L563" s="5"/>
    </row>
    <row r="564" spans="1:12">
      <c r="A564" t="s">
        <v>525</v>
      </c>
      <c r="B564" s="2">
        <v>45815</v>
      </c>
      <c r="C564" t="s">
        <v>1026</v>
      </c>
      <c r="D564" t="s">
        <v>1012</v>
      </c>
      <c r="E564" t="s">
        <v>1041</v>
      </c>
      <c r="F564" t="s">
        <v>1017</v>
      </c>
      <c r="G564">
        <v>1</v>
      </c>
      <c r="H564" s="4">
        <v>2500</v>
      </c>
      <c r="I564" s="4">
        <v>700</v>
      </c>
      <c r="J564" s="4">
        <v>2500</v>
      </c>
      <c r="K564" t="s">
        <v>1058</v>
      </c>
      <c r="L564" s="5"/>
    </row>
    <row r="565" spans="1:12">
      <c r="A565" t="s">
        <v>945</v>
      </c>
      <c r="B565" s="2">
        <v>45815</v>
      </c>
      <c r="C565" t="s">
        <v>1025</v>
      </c>
      <c r="D565" t="s">
        <v>1012</v>
      </c>
      <c r="E565" t="s">
        <v>1043</v>
      </c>
      <c r="F565" t="s">
        <v>1023</v>
      </c>
      <c r="G565">
        <v>1</v>
      </c>
      <c r="H565" s="4">
        <v>3000</v>
      </c>
      <c r="I565" s="4">
        <v>700</v>
      </c>
      <c r="J565" s="4">
        <v>3000</v>
      </c>
      <c r="K565" t="s">
        <v>1060</v>
      </c>
      <c r="L565" s="5"/>
    </row>
    <row r="566" spans="1:12">
      <c r="A566" t="s">
        <v>149</v>
      </c>
      <c r="B566" s="2">
        <v>45814</v>
      </c>
      <c r="C566" t="s">
        <v>1025</v>
      </c>
      <c r="D566" t="s">
        <v>1011</v>
      </c>
      <c r="E566" t="s">
        <v>1042</v>
      </c>
      <c r="F566" t="s">
        <v>1022</v>
      </c>
      <c r="G566">
        <v>1</v>
      </c>
      <c r="H566" s="4">
        <v>5000</v>
      </c>
      <c r="I566" s="4">
        <v>1500</v>
      </c>
      <c r="J566" s="4">
        <v>5000</v>
      </c>
      <c r="K566" t="s">
        <v>1058</v>
      </c>
      <c r="L566" s="5"/>
    </row>
    <row r="567" spans="1:12">
      <c r="A567" t="s">
        <v>164</v>
      </c>
      <c r="B567" s="2">
        <v>45814</v>
      </c>
      <c r="C567" t="s">
        <v>1025</v>
      </c>
      <c r="D567" t="s">
        <v>1011</v>
      </c>
      <c r="E567" t="s">
        <v>1044</v>
      </c>
      <c r="F567" t="s">
        <v>1063</v>
      </c>
      <c r="G567">
        <v>2</v>
      </c>
      <c r="H567" s="4">
        <v>7000</v>
      </c>
      <c r="I567" s="4">
        <v>4000</v>
      </c>
      <c r="J567" s="4">
        <v>14000</v>
      </c>
      <c r="K567" t="s">
        <v>1059</v>
      </c>
      <c r="L567" s="5"/>
    </row>
    <row r="568" spans="1:12">
      <c r="A568" t="s">
        <v>353</v>
      </c>
      <c r="B568" s="2">
        <v>45814</v>
      </c>
      <c r="C568" t="s">
        <v>1026</v>
      </c>
      <c r="D568" t="s">
        <v>1011</v>
      </c>
      <c r="E568" t="s">
        <v>1042</v>
      </c>
      <c r="F568" t="s">
        <v>1015</v>
      </c>
      <c r="G568">
        <v>1</v>
      </c>
      <c r="H568" s="4">
        <v>4000</v>
      </c>
      <c r="I568" s="4">
        <v>1000</v>
      </c>
      <c r="J568" s="4">
        <v>4000</v>
      </c>
      <c r="K568" t="s">
        <v>1060</v>
      </c>
      <c r="L568" s="5"/>
    </row>
    <row r="569" spans="1:12">
      <c r="A569" t="s">
        <v>886</v>
      </c>
      <c r="B569" s="2">
        <v>45814</v>
      </c>
      <c r="C569" t="s">
        <v>1027</v>
      </c>
      <c r="D569" t="s">
        <v>1011</v>
      </c>
      <c r="E569" t="s">
        <v>1043</v>
      </c>
      <c r="F569" t="s">
        <v>1018</v>
      </c>
      <c r="G569">
        <v>1</v>
      </c>
      <c r="H569" s="4">
        <v>2500</v>
      </c>
      <c r="I569" s="4">
        <v>600</v>
      </c>
      <c r="J569" s="4">
        <v>2500</v>
      </c>
      <c r="K569" t="s">
        <v>1060</v>
      </c>
      <c r="L569" s="5"/>
    </row>
    <row r="570" spans="1:12">
      <c r="A570" t="s">
        <v>235</v>
      </c>
      <c r="B570" s="2">
        <v>45813</v>
      </c>
      <c r="C570" t="s">
        <v>1026</v>
      </c>
      <c r="D570" t="s">
        <v>1013</v>
      </c>
      <c r="E570" t="s">
        <v>1041</v>
      </c>
      <c r="F570" t="s">
        <v>1061</v>
      </c>
      <c r="G570">
        <v>1</v>
      </c>
      <c r="H570" s="4">
        <v>5000</v>
      </c>
      <c r="I570" s="4">
        <v>1500</v>
      </c>
      <c r="J570" s="4">
        <v>5000</v>
      </c>
      <c r="K570" t="s">
        <v>1059</v>
      </c>
      <c r="L570" s="5"/>
    </row>
    <row r="571" spans="1:12">
      <c r="A571" t="s">
        <v>377</v>
      </c>
      <c r="B571" s="2">
        <v>45813</v>
      </c>
      <c r="C571" t="s">
        <v>1027</v>
      </c>
      <c r="D571" t="s">
        <v>1013</v>
      </c>
      <c r="E571" t="s">
        <v>1043</v>
      </c>
      <c r="F571" t="s">
        <v>1018</v>
      </c>
      <c r="G571">
        <v>1</v>
      </c>
      <c r="H571" s="4">
        <v>2500</v>
      </c>
      <c r="I571" s="4">
        <v>600</v>
      </c>
      <c r="J571" s="4">
        <v>2500</v>
      </c>
      <c r="K571" t="s">
        <v>1058</v>
      </c>
      <c r="L571" s="5"/>
    </row>
    <row r="572" spans="1:12">
      <c r="A572" t="s">
        <v>535</v>
      </c>
      <c r="B572" s="2">
        <v>45813</v>
      </c>
      <c r="C572" t="s">
        <v>1027</v>
      </c>
      <c r="D572" t="s">
        <v>1012</v>
      </c>
      <c r="E572" t="s">
        <v>1041</v>
      </c>
      <c r="F572" t="s">
        <v>1017</v>
      </c>
      <c r="G572">
        <v>1</v>
      </c>
      <c r="H572" s="4">
        <v>2500</v>
      </c>
      <c r="I572" s="4">
        <v>700</v>
      </c>
      <c r="J572" s="4">
        <v>2500</v>
      </c>
      <c r="K572" t="s">
        <v>1058</v>
      </c>
      <c r="L572" s="5"/>
    </row>
    <row r="573" spans="1:12">
      <c r="A573" t="s">
        <v>155</v>
      </c>
      <c r="B573" s="2">
        <v>45812</v>
      </c>
      <c r="C573" t="s">
        <v>1027</v>
      </c>
      <c r="D573" t="s">
        <v>1011</v>
      </c>
      <c r="E573" t="s">
        <v>1044</v>
      </c>
      <c r="F573" t="s">
        <v>1062</v>
      </c>
      <c r="G573">
        <v>1</v>
      </c>
      <c r="H573" s="4">
        <v>8000</v>
      </c>
      <c r="I573" s="4">
        <v>2500</v>
      </c>
      <c r="J573" s="4">
        <v>8000</v>
      </c>
      <c r="K573" t="s">
        <v>1060</v>
      </c>
      <c r="L573" s="5"/>
    </row>
    <row r="574" spans="1:12">
      <c r="A574" t="s">
        <v>368</v>
      </c>
      <c r="B574" s="2">
        <v>45811</v>
      </c>
      <c r="C574" t="s">
        <v>1027</v>
      </c>
      <c r="D574" t="s">
        <v>1011</v>
      </c>
      <c r="E574" t="s">
        <v>1043</v>
      </c>
      <c r="F574" t="s">
        <v>1018</v>
      </c>
      <c r="G574">
        <v>1</v>
      </c>
      <c r="H574" s="4">
        <v>2500</v>
      </c>
      <c r="I574" s="4">
        <v>600</v>
      </c>
      <c r="J574" s="4">
        <v>2500</v>
      </c>
      <c r="K574" t="s">
        <v>1060</v>
      </c>
      <c r="L574" s="5"/>
    </row>
    <row r="575" spans="1:12">
      <c r="A575" t="s">
        <v>537</v>
      </c>
      <c r="B575" s="2">
        <v>45811</v>
      </c>
      <c r="C575" t="s">
        <v>1026</v>
      </c>
      <c r="D575" t="s">
        <v>1011</v>
      </c>
      <c r="E575" t="s">
        <v>1042</v>
      </c>
      <c r="F575" t="s">
        <v>1015</v>
      </c>
      <c r="G575">
        <v>1</v>
      </c>
      <c r="H575" s="4">
        <v>4000</v>
      </c>
      <c r="I575" s="4">
        <v>1000</v>
      </c>
      <c r="J575" s="4">
        <v>4000</v>
      </c>
      <c r="K575" t="s">
        <v>1060</v>
      </c>
      <c r="L575" s="5"/>
    </row>
    <row r="576" spans="1:12">
      <c r="A576" t="s">
        <v>464</v>
      </c>
      <c r="B576" s="2">
        <v>45810</v>
      </c>
      <c r="C576" t="s">
        <v>1026</v>
      </c>
      <c r="D576" t="s">
        <v>1011</v>
      </c>
      <c r="E576" t="s">
        <v>1041</v>
      </c>
      <c r="F576" t="s">
        <v>1061</v>
      </c>
      <c r="G576">
        <v>1</v>
      </c>
      <c r="H576" s="4">
        <v>5000</v>
      </c>
      <c r="I576" s="4">
        <v>1500</v>
      </c>
      <c r="J576" s="4">
        <v>5000</v>
      </c>
      <c r="K576" t="s">
        <v>1060</v>
      </c>
      <c r="L576" s="5"/>
    </row>
    <row r="577" spans="1:12">
      <c r="A577" t="s">
        <v>583</v>
      </c>
      <c r="B577" s="2">
        <v>45810</v>
      </c>
      <c r="C577" t="s">
        <v>1027</v>
      </c>
      <c r="D577" t="s">
        <v>1012</v>
      </c>
      <c r="E577" t="s">
        <v>1042</v>
      </c>
      <c r="F577" t="s">
        <v>1022</v>
      </c>
      <c r="G577">
        <v>1</v>
      </c>
      <c r="H577" s="4">
        <v>5000</v>
      </c>
      <c r="I577" s="4">
        <v>1500</v>
      </c>
      <c r="J577" s="4">
        <v>5000</v>
      </c>
      <c r="K577" t="s">
        <v>1058</v>
      </c>
      <c r="L577" s="5"/>
    </row>
    <row r="578" spans="1:12">
      <c r="A578" t="s">
        <v>439</v>
      </c>
      <c r="B578" s="2">
        <v>45809</v>
      </c>
      <c r="C578" t="s">
        <v>1025</v>
      </c>
      <c r="D578" t="s">
        <v>1011</v>
      </c>
      <c r="E578" t="s">
        <v>1041</v>
      </c>
      <c r="F578" t="s">
        <v>1061</v>
      </c>
      <c r="G578">
        <v>1</v>
      </c>
      <c r="H578" s="4">
        <v>5000</v>
      </c>
      <c r="I578" s="4">
        <v>1500</v>
      </c>
      <c r="J578" s="4">
        <v>5000</v>
      </c>
      <c r="K578" t="s">
        <v>1059</v>
      </c>
      <c r="L578" s="5"/>
    </row>
    <row r="579" spans="1:12">
      <c r="A579" t="s">
        <v>34</v>
      </c>
      <c r="B579" s="2">
        <v>45808</v>
      </c>
      <c r="C579" t="s">
        <v>1026</v>
      </c>
      <c r="D579" t="s">
        <v>1013</v>
      </c>
      <c r="E579" t="s">
        <v>1044</v>
      </c>
      <c r="F579" t="s">
        <v>1062</v>
      </c>
      <c r="G579">
        <v>1</v>
      </c>
      <c r="H579" s="4">
        <v>8000</v>
      </c>
      <c r="I579" s="4">
        <v>2500</v>
      </c>
      <c r="J579" s="4">
        <v>8000</v>
      </c>
      <c r="K579" t="s">
        <v>1058</v>
      </c>
      <c r="L579" s="5"/>
    </row>
    <row r="580" spans="1:12">
      <c r="A580" t="s">
        <v>765</v>
      </c>
      <c r="B580" s="2">
        <v>45808</v>
      </c>
      <c r="C580" t="s">
        <v>1027</v>
      </c>
      <c r="D580" t="s">
        <v>1012</v>
      </c>
      <c r="E580" t="s">
        <v>1041</v>
      </c>
      <c r="F580" t="s">
        <v>1016</v>
      </c>
      <c r="G580">
        <v>1</v>
      </c>
      <c r="H580" s="4">
        <v>3000</v>
      </c>
      <c r="I580" s="4">
        <v>800</v>
      </c>
      <c r="J580" s="4">
        <v>3000</v>
      </c>
      <c r="K580" t="s">
        <v>1059</v>
      </c>
      <c r="L580" s="5"/>
    </row>
    <row r="581" spans="1:12">
      <c r="A581" t="s">
        <v>855</v>
      </c>
      <c r="B581" s="2">
        <v>45808</v>
      </c>
      <c r="C581" t="s">
        <v>1026</v>
      </c>
      <c r="D581" t="s">
        <v>1013</v>
      </c>
      <c r="E581" t="s">
        <v>1044</v>
      </c>
      <c r="F581" t="s">
        <v>1014</v>
      </c>
      <c r="G581">
        <v>1</v>
      </c>
      <c r="H581" s="4">
        <v>2500</v>
      </c>
      <c r="I581" s="4">
        <v>500</v>
      </c>
      <c r="J581" s="4">
        <v>2500</v>
      </c>
      <c r="K581" t="s">
        <v>1060</v>
      </c>
      <c r="L581" s="5"/>
    </row>
    <row r="582" spans="1:12">
      <c r="A582" t="s">
        <v>864</v>
      </c>
      <c r="B582" s="2">
        <v>45808</v>
      </c>
      <c r="C582" t="s">
        <v>1027</v>
      </c>
      <c r="D582" t="s">
        <v>1011</v>
      </c>
      <c r="E582" t="s">
        <v>1044</v>
      </c>
      <c r="F582" t="s">
        <v>1062</v>
      </c>
      <c r="G582">
        <v>1</v>
      </c>
      <c r="H582" s="4">
        <v>8000</v>
      </c>
      <c r="I582" s="4">
        <v>2500</v>
      </c>
      <c r="J582" s="4">
        <v>8000</v>
      </c>
      <c r="K582" t="s">
        <v>1060</v>
      </c>
      <c r="L582" s="5"/>
    </row>
    <row r="583" spans="1:12">
      <c r="A583" t="s">
        <v>168</v>
      </c>
      <c r="B583" s="2">
        <v>45807</v>
      </c>
      <c r="C583" t="s">
        <v>1027</v>
      </c>
      <c r="D583" t="s">
        <v>1013</v>
      </c>
      <c r="E583" t="s">
        <v>1043</v>
      </c>
      <c r="F583" t="s">
        <v>1021</v>
      </c>
      <c r="G583">
        <v>2</v>
      </c>
      <c r="H583" s="4">
        <v>6000</v>
      </c>
      <c r="I583" s="4">
        <v>3600</v>
      </c>
      <c r="J583" s="4">
        <v>12000</v>
      </c>
      <c r="K583" t="s">
        <v>1058</v>
      </c>
      <c r="L583" s="5"/>
    </row>
    <row r="584" spans="1:12">
      <c r="A584" t="s">
        <v>191</v>
      </c>
      <c r="B584" s="2">
        <v>45807</v>
      </c>
      <c r="C584" t="s">
        <v>1025</v>
      </c>
      <c r="D584" t="s">
        <v>1011</v>
      </c>
      <c r="E584" t="s">
        <v>1041</v>
      </c>
      <c r="F584" t="s">
        <v>1016</v>
      </c>
      <c r="G584">
        <v>2</v>
      </c>
      <c r="H584" s="4">
        <v>3000</v>
      </c>
      <c r="I584" s="4">
        <v>1600</v>
      </c>
      <c r="J584" s="4">
        <v>6000</v>
      </c>
      <c r="K584" t="s">
        <v>1058</v>
      </c>
      <c r="L584" s="5"/>
    </row>
    <row r="585" spans="1:12">
      <c r="A585" t="s">
        <v>578</v>
      </c>
      <c r="B585" s="2">
        <v>45807</v>
      </c>
      <c r="C585" t="s">
        <v>1027</v>
      </c>
      <c r="D585" t="s">
        <v>1012</v>
      </c>
      <c r="E585" t="s">
        <v>1041</v>
      </c>
      <c r="F585" t="s">
        <v>1061</v>
      </c>
      <c r="G585">
        <v>1</v>
      </c>
      <c r="H585" s="4">
        <v>5000</v>
      </c>
      <c r="I585" s="4">
        <v>1500</v>
      </c>
      <c r="J585" s="4">
        <v>5000</v>
      </c>
      <c r="K585" t="s">
        <v>1059</v>
      </c>
      <c r="L585" s="5"/>
    </row>
    <row r="586" spans="1:12">
      <c r="A586" t="s">
        <v>588</v>
      </c>
      <c r="B586" s="2">
        <v>45806</v>
      </c>
      <c r="C586" t="s">
        <v>1025</v>
      </c>
      <c r="D586" t="s">
        <v>1012</v>
      </c>
      <c r="E586" t="s">
        <v>1042</v>
      </c>
      <c r="F586" t="s">
        <v>1022</v>
      </c>
      <c r="G586">
        <v>1</v>
      </c>
      <c r="H586" s="4">
        <v>5000</v>
      </c>
      <c r="I586" s="4">
        <v>1500</v>
      </c>
      <c r="J586" s="4">
        <v>5000</v>
      </c>
      <c r="K586" t="s">
        <v>1060</v>
      </c>
      <c r="L586" s="5"/>
    </row>
    <row r="587" spans="1:12">
      <c r="A587" t="s">
        <v>880</v>
      </c>
      <c r="B587" s="2">
        <v>45806</v>
      </c>
      <c r="C587" t="s">
        <v>1025</v>
      </c>
      <c r="D587" t="s">
        <v>1012</v>
      </c>
      <c r="E587" t="s">
        <v>1044</v>
      </c>
      <c r="F587" t="s">
        <v>1062</v>
      </c>
      <c r="G587">
        <v>1</v>
      </c>
      <c r="H587" s="4">
        <v>8000</v>
      </c>
      <c r="I587" s="4">
        <v>2500</v>
      </c>
      <c r="J587" s="4">
        <v>8000</v>
      </c>
      <c r="K587" t="s">
        <v>1060</v>
      </c>
      <c r="L587" s="5"/>
    </row>
    <row r="588" spans="1:12">
      <c r="A588" t="s">
        <v>187</v>
      </c>
      <c r="B588" s="2">
        <v>45805</v>
      </c>
      <c r="C588" t="s">
        <v>1026</v>
      </c>
      <c r="D588" t="s">
        <v>1011</v>
      </c>
      <c r="E588" t="s">
        <v>1044</v>
      </c>
      <c r="F588" t="s">
        <v>1063</v>
      </c>
      <c r="G588">
        <v>1</v>
      </c>
      <c r="H588" s="4">
        <v>7000</v>
      </c>
      <c r="I588" s="4">
        <v>2000</v>
      </c>
      <c r="J588" s="4">
        <v>7000</v>
      </c>
      <c r="K588" t="s">
        <v>1058</v>
      </c>
      <c r="L588" s="5"/>
    </row>
    <row r="589" spans="1:12">
      <c r="A589" t="s">
        <v>214</v>
      </c>
      <c r="B589" s="2">
        <v>45805</v>
      </c>
      <c r="C589" t="s">
        <v>1025</v>
      </c>
      <c r="D589" t="s">
        <v>1011</v>
      </c>
      <c r="E589" t="s">
        <v>1042</v>
      </c>
      <c r="F589" t="s">
        <v>1019</v>
      </c>
      <c r="G589">
        <v>2</v>
      </c>
      <c r="H589" s="4">
        <v>3000</v>
      </c>
      <c r="I589" s="4">
        <v>1600</v>
      </c>
      <c r="J589" s="4">
        <v>6000</v>
      </c>
      <c r="K589" t="s">
        <v>1059</v>
      </c>
      <c r="L589" s="5"/>
    </row>
    <row r="590" spans="1:12">
      <c r="A590" t="s">
        <v>422</v>
      </c>
      <c r="B590" s="2">
        <v>45805</v>
      </c>
      <c r="C590" t="s">
        <v>1027</v>
      </c>
      <c r="D590" t="s">
        <v>1011</v>
      </c>
      <c r="E590" t="s">
        <v>1042</v>
      </c>
      <c r="F590" t="s">
        <v>1019</v>
      </c>
      <c r="G590">
        <v>1</v>
      </c>
      <c r="H590" s="4">
        <v>3000</v>
      </c>
      <c r="I590" s="4">
        <v>800</v>
      </c>
      <c r="J590" s="4">
        <v>3000</v>
      </c>
      <c r="K590" t="s">
        <v>1060</v>
      </c>
      <c r="L590" s="5"/>
    </row>
    <row r="591" spans="1:12">
      <c r="A591" t="s">
        <v>431</v>
      </c>
      <c r="B591" s="2">
        <v>45805</v>
      </c>
      <c r="C591" t="s">
        <v>1026</v>
      </c>
      <c r="D591" t="s">
        <v>1012</v>
      </c>
      <c r="E591" t="s">
        <v>1042</v>
      </c>
      <c r="F591" t="s">
        <v>1015</v>
      </c>
      <c r="G591">
        <v>1</v>
      </c>
      <c r="H591" s="4">
        <v>4000</v>
      </c>
      <c r="I591" s="4">
        <v>1000</v>
      </c>
      <c r="J591" s="4">
        <v>4000</v>
      </c>
      <c r="K591" t="s">
        <v>1060</v>
      </c>
      <c r="L591" s="5"/>
    </row>
    <row r="592" spans="1:12">
      <c r="A592" t="s">
        <v>970</v>
      </c>
      <c r="B592" s="2">
        <v>45805</v>
      </c>
      <c r="C592" t="s">
        <v>1027</v>
      </c>
      <c r="D592" t="s">
        <v>1012</v>
      </c>
      <c r="E592" t="s">
        <v>1044</v>
      </c>
      <c r="F592" t="s">
        <v>1063</v>
      </c>
      <c r="G592">
        <v>1</v>
      </c>
      <c r="H592" s="4">
        <v>7000</v>
      </c>
      <c r="I592" s="4">
        <v>2000</v>
      </c>
      <c r="J592" s="4">
        <v>7000</v>
      </c>
      <c r="K592" t="s">
        <v>1060</v>
      </c>
      <c r="L592" s="5"/>
    </row>
    <row r="593" spans="1:12">
      <c r="A593" t="s">
        <v>220</v>
      </c>
      <c r="B593" s="2">
        <v>45804</v>
      </c>
      <c r="C593" t="s">
        <v>1027</v>
      </c>
      <c r="D593" t="s">
        <v>1011</v>
      </c>
      <c r="E593" t="s">
        <v>1041</v>
      </c>
      <c r="F593" t="s">
        <v>1061</v>
      </c>
      <c r="G593">
        <v>2</v>
      </c>
      <c r="H593" s="4">
        <v>5000</v>
      </c>
      <c r="I593" s="4">
        <v>3000</v>
      </c>
      <c r="J593" s="4">
        <v>10000</v>
      </c>
      <c r="K593" t="s">
        <v>1058</v>
      </c>
      <c r="L593" s="5"/>
    </row>
    <row r="594" spans="1:12">
      <c r="A594" t="s">
        <v>347</v>
      </c>
      <c r="B594" s="2">
        <v>45804</v>
      </c>
      <c r="C594" t="s">
        <v>1026</v>
      </c>
      <c r="D594" t="s">
        <v>1013</v>
      </c>
      <c r="E594" t="s">
        <v>1042</v>
      </c>
      <c r="F594" t="s">
        <v>1019</v>
      </c>
      <c r="G594">
        <v>1</v>
      </c>
      <c r="H594" s="4">
        <v>3000</v>
      </c>
      <c r="I594" s="4">
        <v>800</v>
      </c>
      <c r="J594" s="4">
        <v>3000</v>
      </c>
      <c r="K594" t="s">
        <v>1060</v>
      </c>
      <c r="L594" s="5"/>
    </row>
    <row r="595" spans="1:12">
      <c r="A595" t="s">
        <v>397</v>
      </c>
      <c r="B595" s="2">
        <v>45804</v>
      </c>
      <c r="C595" t="s">
        <v>1025</v>
      </c>
      <c r="D595" t="s">
        <v>1013</v>
      </c>
      <c r="E595" t="s">
        <v>1042</v>
      </c>
      <c r="F595" t="s">
        <v>1015</v>
      </c>
      <c r="G595">
        <v>2</v>
      </c>
      <c r="H595" s="4">
        <v>4000</v>
      </c>
      <c r="I595" s="4">
        <v>2000</v>
      </c>
      <c r="J595" s="4">
        <v>8000</v>
      </c>
      <c r="K595" t="s">
        <v>1059</v>
      </c>
      <c r="L595" s="5"/>
    </row>
    <row r="596" spans="1:12">
      <c r="A596" t="s">
        <v>847</v>
      </c>
      <c r="B596" s="2">
        <v>45804</v>
      </c>
      <c r="C596" t="s">
        <v>1025</v>
      </c>
      <c r="D596" t="s">
        <v>1012</v>
      </c>
      <c r="E596" t="s">
        <v>1042</v>
      </c>
      <c r="F596" t="s">
        <v>1019</v>
      </c>
      <c r="G596">
        <v>1</v>
      </c>
      <c r="H596" s="4">
        <v>3000</v>
      </c>
      <c r="I596" s="4">
        <v>800</v>
      </c>
      <c r="J596" s="4">
        <v>3000</v>
      </c>
      <c r="K596" t="s">
        <v>1059</v>
      </c>
      <c r="L596" s="5"/>
    </row>
    <row r="597" spans="1:12">
      <c r="A597" t="s">
        <v>306</v>
      </c>
      <c r="B597" s="2">
        <v>45803</v>
      </c>
      <c r="C597" t="s">
        <v>1026</v>
      </c>
      <c r="D597" t="s">
        <v>1011</v>
      </c>
      <c r="E597" t="s">
        <v>1042</v>
      </c>
      <c r="F597" t="s">
        <v>1015</v>
      </c>
      <c r="G597">
        <v>2</v>
      </c>
      <c r="H597" s="4">
        <v>4000</v>
      </c>
      <c r="I597" s="4">
        <v>2000</v>
      </c>
      <c r="J597" s="4">
        <v>8000</v>
      </c>
      <c r="K597" t="s">
        <v>1060</v>
      </c>
      <c r="L597" s="5"/>
    </row>
    <row r="598" spans="1:12">
      <c r="A598" t="s">
        <v>324</v>
      </c>
      <c r="B598" s="2">
        <v>45803</v>
      </c>
      <c r="C598" t="s">
        <v>1027</v>
      </c>
      <c r="D598" t="s">
        <v>1013</v>
      </c>
      <c r="E598" t="s">
        <v>1043</v>
      </c>
      <c r="F598" t="s">
        <v>1018</v>
      </c>
      <c r="G598">
        <v>1</v>
      </c>
      <c r="H598" s="4">
        <v>2500</v>
      </c>
      <c r="I598" s="4">
        <v>600</v>
      </c>
      <c r="J598" s="4">
        <v>2500</v>
      </c>
      <c r="K598" t="s">
        <v>1058</v>
      </c>
      <c r="L598" s="5"/>
    </row>
    <row r="599" spans="1:12">
      <c r="A599" t="s">
        <v>748</v>
      </c>
      <c r="B599" s="2">
        <v>45803</v>
      </c>
      <c r="C599" t="s">
        <v>1027</v>
      </c>
      <c r="D599" t="s">
        <v>1012</v>
      </c>
      <c r="E599" t="s">
        <v>1042</v>
      </c>
      <c r="F599" t="s">
        <v>1022</v>
      </c>
      <c r="G599">
        <v>1</v>
      </c>
      <c r="H599" s="4">
        <v>5000</v>
      </c>
      <c r="I599" s="4">
        <v>1500</v>
      </c>
      <c r="J599" s="4">
        <v>5000</v>
      </c>
      <c r="K599" t="s">
        <v>1059</v>
      </c>
      <c r="L599" s="5"/>
    </row>
    <row r="600" spans="1:12">
      <c r="A600" t="s">
        <v>997</v>
      </c>
      <c r="B600" s="2">
        <v>45803</v>
      </c>
      <c r="C600" t="s">
        <v>1026</v>
      </c>
      <c r="D600" t="s">
        <v>1012</v>
      </c>
      <c r="E600" t="s">
        <v>1043</v>
      </c>
      <c r="F600" t="s">
        <v>1018</v>
      </c>
      <c r="G600">
        <v>1</v>
      </c>
      <c r="H600" s="4">
        <v>2500</v>
      </c>
      <c r="I600" s="4">
        <v>600</v>
      </c>
      <c r="J600" s="4">
        <v>2500</v>
      </c>
      <c r="K600" t="s">
        <v>1060</v>
      </c>
      <c r="L600" s="5"/>
    </row>
    <row r="601" spans="1:12">
      <c r="A601" t="s">
        <v>195</v>
      </c>
      <c r="B601" s="2">
        <v>45802</v>
      </c>
      <c r="C601" t="s">
        <v>1025</v>
      </c>
      <c r="D601" t="s">
        <v>1012</v>
      </c>
      <c r="E601" t="s">
        <v>1044</v>
      </c>
      <c r="F601" t="s">
        <v>1063</v>
      </c>
      <c r="G601">
        <v>1</v>
      </c>
      <c r="H601" s="4">
        <v>7000</v>
      </c>
      <c r="I601" s="4">
        <v>2000</v>
      </c>
      <c r="J601" s="4">
        <v>7000</v>
      </c>
      <c r="K601" t="s">
        <v>1060</v>
      </c>
      <c r="L601" s="5"/>
    </row>
    <row r="602" spans="1:12">
      <c r="A602" t="s">
        <v>321</v>
      </c>
      <c r="B602" s="2">
        <v>45802</v>
      </c>
      <c r="C602" t="s">
        <v>1026</v>
      </c>
      <c r="D602" t="s">
        <v>1011</v>
      </c>
      <c r="E602" t="s">
        <v>1043</v>
      </c>
      <c r="F602" t="s">
        <v>1023</v>
      </c>
      <c r="G602">
        <v>2</v>
      </c>
      <c r="H602" s="4">
        <v>3000</v>
      </c>
      <c r="I602" s="4">
        <v>1400</v>
      </c>
      <c r="J602" s="4">
        <v>6000</v>
      </c>
      <c r="K602" t="s">
        <v>1060</v>
      </c>
      <c r="L602" s="5"/>
    </row>
    <row r="603" spans="1:12">
      <c r="A603" t="s">
        <v>396</v>
      </c>
      <c r="B603" s="2">
        <v>45802</v>
      </c>
      <c r="C603" t="s">
        <v>1026</v>
      </c>
      <c r="D603" t="s">
        <v>1011</v>
      </c>
      <c r="E603" t="s">
        <v>1041</v>
      </c>
      <c r="F603" t="s">
        <v>1061</v>
      </c>
      <c r="G603">
        <v>1</v>
      </c>
      <c r="H603" s="4">
        <v>5000</v>
      </c>
      <c r="I603" s="4">
        <v>1500</v>
      </c>
      <c r="J603" s="4">
        <v>5000</v>
      </c>
      <c r="K603" t="s">
        <v>1060</v>
      </c>
      <c r="L603" s="5"/>
    </row>
    <row r="604" spans="1:12">
      <c r="A604" t="s">
        <v>680</v>
      </c>
      <c r="B604" s="2">
        <v>45801</v>
      </c>
      <c r="C604" t="s">
        <v>1027</v>
      </c>
      <c r="D604" t="s">
        <v>1012</v>
      </c>
      <c r="E604" t="s">
        <v>1044</v>
      </c>
      <c r="F604" t="s">
        <v>1014</v>
      </c>
      <c r="G604">
        <v>1</v>
      </c>
      <c r="H604" s="4">
        <v>2500</v>
      </c>
      <c r="I604" s="4">
        <v>500</v>
      </c>
      <c r="J604" s="4">
        <v>2500</v>
      </c>
      <c r="K604" t="s">
        <v>1060</v>
      </c>
      <c r="L604" s="5"/>
    </row>
    <row r="605" spans="1:12">
      <c r="A605" t="s">
        <v>987</v>
      </c>
      <c r="B605" s="2">
        <v>45801</v>
      </c>
      <c r="C605" t="s">
        <v>1026</v>
      </c>
      <c r="D605" t="s">
        <v>1013</v>
      </c>
      <c r="E605" t="s">
        <v>1044</v>
      </c>
      <c r="F605" t="s">
        <v>1062</v>
      </c>
      <c r="G605">
        <v>2</v>
      </c>
      <c r="H605" s="4">
        <v>8000</v>
      </c>
      <c r="I605" s="4">
        <v>5000</v>
      </c>
      <c r="J605" s="4">
        <v>16000</v>
      </c>
      <c r="K605" t="s">
        <v>1060</v>
      </c>
      <c r="L605" s="5"/>
    </row>
    <row r="606" spans="1:12">
      <c r="A606" t="s">
        <v>54</v>
      </c>
      <c r="B606" s="2">
        <v>45800</v>
      </c>
      <c r="C606" t="s">
        <v>1026</v>
      </c>
      <c r="D606" t="s">
        <v>1013</v>
      </c>
      <c r="E606" t="s">
        <v>1044</v>
      </c>
      <c r="F606" t="s">
        <v>1020</v>
      </c>
      <c r="G606">
        <v>1</v>
      </c>
      <c r="H606" s="4">
        <v>7500</v>
      </c>
      <c r="I606" s="4">
        <v>2200</v>
      </c>
      <c r="J606" s="4">
        <v>7500</v>
      </c>
      <c r="K606" t="s">
        <v>1059</v>
      </c>
      <c r="L606" s="5"/>
    </row>
    <row r="607" spans="1:12">
      <c r="A607" t="s">
        <v>267</v>
      </c>
      <c r="B607" s="2">
        <v>45800</v>
      </c>
      <c r="C607" t="s">
        <v>1025</v>
      </c>
      <c r="D607" t="s">
        <v>1013</v>
      </c>
      <c r="E607" t="s">
        <v>1044</v>
      </c>
      <c r="F607" t="s">
        <v>1062</v>
      </c>
      <c r="G607">
        <v>1</v>
      </c>
      <c r="H607" s="4">
        <v>8000</v>
      </c>
      <c r="I607" s="4">
        <v>2500</v>
      </c>
      <c r="J607" s="4">
        <v>8000</v>
      </c>
      <c r="K607" t="s">
        <v>1058</v>
      </c>
      <c r="L607" s="5"/>
    </row>
    <row r="608" spans="1:12">
      <c r="A608" t="s">
        <v>626</v>
      </c>
      <c r="B608" s="2">
        <v>45800</v>
      </c>
      <c r="C608" t="s">
        <v>1027</v>
      </c>
      <c r="D608" t="s">
        <v>1012</v>
      </c>
      <c r="E608" t="s">
        <v>1042</v>
      </c>
      <c r="F608" t="s">
        <v>1015</v>
      </c>
      <c r="G608">
        <v>1</v>
      </c>
      <c r="H608" s="4">
        <v>4000</v>
      </c>
      <c r="I608" s="4">
        <v>1000</v>
      </c>
      <c r="J608" s="4">
        <v>4000</v>
      </c>
      <c r="K608" t="s">
        <v>1059</v>
      </c>
      <c r="L608" s="5"/>
    </row>
    <row r="609" spans="1:12">
      <c r="A609" t="s">
        <v>819</v>
      </c>
      <c r="B609" s="2">
        <v>45800</v>
      </c>
      <c r="C609" t="s">
        <v>1027</v>
      </c>
      <c r="D609" t="s">
        <v>1011</v>
      </c>
      <c r="E609" t="s">
        <v>1044</v>
      </c>
      <c r="F609" t="s">
        <v>1014</v>
      </c>
      <c r="G609">
        <v>1</v>
      </c>
      <c r="H609" s="4">
        <v>2500</v>
      </c>
      <c r="I609" s="4">
        <v>500</v>
      </c>
      <c r="J609" s="4">
        <v>2500</v>
      </c>
      <c r="K609" t="s">
        <v>1059</v>
      </c>
      <c r="L609" s="5"/>
    </row>
    <row r="610" spans="1:12">
      <c r="A610" t="s">
        <v>194</v>
      </c>
      <c r="B610" s="2">
        <v>45799</v>
      </c>
      <c r="C610" t="s">
        <v>1026</v>
      </c>
      <c r="D610" t="s">
        <v>1012</v>
      </c>
      <c r="E610" t="s">
        <v>1041</v>
      </c>
      <c r="F610" t="s">
        <v>1016</v>
      </c>
      <c r="G610">
        <v>1</v>
      </c>
      <c r="H610" s="4">
        <v>3000</v>
      </c>
      <c r="I610" s="4">
        <v>800</v>
      </c>
      <c r="J610" s="4">
        <v>3000</v>
      </c>
      <c r="K610" t="s">
        <v>1060</v>
      </c>
      <c r="L610" s="5"/>
    </row>
    <row r="611" spans="1:12">
      <c r="A611" t="s">
        <v>729</v>
      </c>
      <c r="B611" s="2">
        <v>45799</v>
      </c>
      <c r="C611" t="s">
        <v>1025</v>
      </c>
      <c r="D611" t="s">
        <v>1012</v>
      </c>
      <c r="E611" t="s">
        <v>1044</v>
      </c>
      <c r="F611" t="s">
        <v>1020</v>
      </c>
      <c r="G611">
        <v>1</v>
      </c>
      <c r="H611" s="4">
        <v>7500</v>
      </c>
      <c r="I611" s="4">
        <v>2200</v>
      </c>
      <c r="J611" s="4">
        <v>7500</v>
      </c>
      <c r="K611" t="s">
        <v>1059</v>
      </c>
      <c r="L611" s="5"/>
    </row>
    <row r="612" spans="1:12">
      <c r="A612" t="s">
        <v>113</v>
      </c>
      <c r="B612" s="2">
        <v>45798</v>
      </c>
      <c r="C612" t="s">
        <v>1026</v>
      </c>
      <c r="D612" t="s">
        <v>1013</v>
      </c>
      <c r="E612" t="s">
        <v>1042</v>
      </c>
      <c r="F612" t="s">
        <v>1015</v>
      </c>
      <c r="G612">
        <v>1</v>
      </c>
      <c r="H612" s="4">
        <v>4000</v>
      </c>
      <c r="I612" s="4">
        <v>1000</v>
      </c>
      <c r="J612" s="4">
        <v>4000</v>
      </c>
      <c r="K612" t="s">
        <v>1060</v>
      </c>
      <c r="L612" s="5"/>
    </row>
    <row r="613" spans="1:12">
      <c r="A613" t="s">
        <v>474</v>
      </c>
      <c r="B613" s="2">
        <v>45798</v>
      </c>
      <c r="C613" t="s">
        <v>1027</v>
      </c>
      <c r="D613" t="s">
        <v>1011</v>
      </c>
      <c r="E613" t="s">
        <v>1044</v>
      </c>
      <c r="F613" t="s">
        <v>1020</v>
      </c>
      <c r="G613">
        <v>1</v>
      </c>
      <c r="H613" s="4">
        <v>7500</v>
      </c>
      <c r="I613" s="4">
        <v>2200</v>
      </c>
      <c r="J613" s="4">
        <v>7500</v>
      </c>
      <c r="K613" t="s">
        <v>1060</v>
      </c>
      <c r="L613" s="5"/>
    </row>
    <row r="614" spans="1:12">
      <c r="A614" t="s">
        <v>838</v>
      </c>
      <c r="B614" s="2">
        <v>45798</v>
      </c>
      <c r="C614" t="s">
        <v>1026</v>
      </c>
      <c r="D614" t="s">
        <v>1012</v>
      </c>
      <c r="E614" t="s">
        <v>1042</v>
      </c>
      <c r="F614" t="s">
        <v>1022</v>
      </c>
      <c r="G614">
        <v>1</v>
      </c>
      <c r="H614" s="4">
        <v>5000</v>
      </c>
      <c r="I614" s="4">
        <v>1500</v>
      </c>
      <c r="J614" s="4">
        <v>5000</v>
      </c>
      <c r="K614" t="s">
        <v>1058</v>
      </c>
      <c r="L614" s="5"/>
    </row>
    <row r="615" spans="1:12">
      <c r="A615" t="s">
        <v>73</v>
      </c>
      <c r="B615" s="2">
        <v>45797</v>
      </c>
      <c r="C615" t="s">
        <v>1026</v>
      </c>
      <c r="D615" t="s">
        <v>1011</v>
      </c>
      <c r="E615" t="s">
        <v>1043</v>
      </c>
      <c r="F615" t="s">
        <v>1018</v>
      </c>
      <c r="G615">
        <v>1</v>
      </c>
      <c r="H615" s="4">
        <v>2500</v>
      </c>
      <c r="I615" s="4">
        <v>600</v>
      </c>
      <c r="J615" s="4">
        <v>2500</v>
      </c>
      <c r="K615" t="s">
        <v>1059</v>
      </c>
      <c r="L615" s="5"/>
    </row>
    <row r="616" spans="1:12">
      <c r="A616" t="s">
        <v>114</v>
      </c>
      <c r="B616" s="2">
        <v>45797</v>
      </c>
      <c r="C616" t="s">
        <v>1026</v>
      </c>
      <c r="D616" t="s">
        <v>1012</v>
      </c>
      <c r="E616" t="s">
        <v>1044</v>
      </c>
      <c r="F616" t="s">
        <v>1063</v>
      </c>
      <c r="G616">
        <v>1</v>
      </c>
      <c r="H616" s="4">
        <v>7000</v>
      </c>
      <c r="I616" s="4">
        <v>2000</v>
      </c>
      <c r="J616" s="4">
        <v>7000</v>
      </c>
      <c r="K616" t="s">
        <v>1060</v>
      </c>
      <c r="L616" s="5"/>
    </row>
    <row r="617" spans="1:12">
      <c r="A617" t="s">
        <v>174</v>
      </c>
      <c r="B617" s="2">
        <v>45797</v>
      </c>
      <c r="C617" t="s">
        <v>1025</v>
      </c>
      <c r="D617" t="s">
        <v>1011</v>
      </c>
      <c r="E617" t="s">
        <v>1044</v>
      </c>
      <c r="F617" t="s">
        <v>1063</v>
      </c>
      <c r="G617">
        <v>2</v>
      </c>
      <c r="H617" s="4">
        <v>7000</v>
      </c>
      <c r="I617" s="4">
        <v>4000</v>
      </c>
      <c r="J617" s="4">
        <v>14000</v>
      </c>
      <c r="K617" t="s">
        <v>1058</v>
      </c>
      <c r="L617" s="5"/>
    </row>
    <row r="618" spans="1:12">
      <c r="A618" t="s">
        <v>269</v>
      </c>
      <c r="B618" s="2">
        <v>45797</v>
      </c>
      <c r="C618" t="s">
        <v>1025</v>
      </c>
      <c r="D618" t="s">
        <v>1012</v>
      </c>
      <c r="E618" t="s">
        <v>1041</v>
      </c>
      <c r="F618" t="s">
        <v>1061</v>
      </c>
      <c r="G618">
        <v>1</v>
      </c>
      <c r="H618" s="4">
        <v>5000</v>
      </c>
      <c r="I618" s="4">
        <v>1500</v>
      </c>
      <c r="J618" s="4">
        <v>5000</v>
      </c>
      <c r="K618" t="s">
        <v>1058</v>
      </c>
      <c r="L618" s="5"/>
    </row>
    <row r="619" spans="1:12">
      <c r="A619" t="s">
        <v>275</v>
      </c>
      <c r="B619" s="2">
        <v>45797</v>
      </c>
      <c r="C619" t="s">
        <v>1026</v>
      </c>
      <c r="D619" t="s">
        <v>1011</v>
      </c>
      <c r="E619" t="s">
        <v>1041</v>
      </c>
      <c r="F619" t="s">
        <v>1061</v>
      </c>
      <c r="G619">
        <v>1</v>
      </c>
      <c r="H619" s="4">
        <v>5000</v>
      </c>
      <c r="I619" s="4">
        <v>1500</v>
      </c>
      <c r="J619" s="4">
        <v>5000</v>
      </c>
      <c r="K619" t="s">
        <v>1058</v>
      </c>
      <c r="L619" s="5"/>
    </row>
    <row r="620" spans="1:12">
      <c r="A620" t="s">
        <v>437</v>
      </c>
      <c r="B620" s="2">
        <v>45797</v>
      </c>
      <c r="C620" t="s">
        <v>1027</v>
      </c>
      <c r="D620" t="s">
        <v>1013</v>
      </c>
      <c r="E620" t="s">
        <v>1041</v>
      </c>
      <c r="F620" t="s">
        <v>1016</v>
      </c>
      <c r="G620">
        <v>2</v>
      </c>
      <c r="H620" s="4">
        <v>3000</v>
      </c>
      <c r="I620" s="4">
        <v>1600</v>
      </c>
      <c r="J620" s="4">
        <v>6000</v>
      </c>
      <c r="K620" t="s">
        <v>1058</v>
      </c>
      <c r="L620" s="5"/>
    </row>
    <row r="621" spans="1:12">
      <c r="A621" t="s">
        <v>23</v>
      </c>
      <c r="B621" s="2">
        <v>45796</v>
      </c>
      <c r="C621" t="s">
        <v>1025</v>
      </c>
      <c r="D621" t="s">
        <v>1011</v>
      </c>
      <c r="E621" t="s">
        <v>1043</v>
      </c>
      <c r="F621" t="s">
        <v>1023</v>
      </c>
      <c r="G621">
        <v>2</v>
      </c>
      <c r="H621" s="4">
        <v>3000</v>
      </c>
      <c r="I621" s="4">
        <v>1400</v>
      </c>
      <c r="J621" s="4">
        <v>6000</v>
      </c>
      <c r="K621" t="s">
        <v>1060</v>
      </c>
      <c r="L621" s="5"/>
    </row>
    <row r="622" spans="1:12">
      <c r="A622" t="s">
        <v>151</v>
      </c>
      <c r="B622" s="2">
        <v>45796</v>
      </c>
      <c r="C622" t="s">
        <v>1026</v>
      </c>
      <c r="D622" t="s">
        <v>1012</v>
      </c>
      <c r="E622" t="s">
        <v>1044</v>
      </c>
      <c r="F622" t="s">
        <v>1062</v>
      </c>
      <c r="G622">
        <v>2</v>
      </c>
      <c r="H622" s="4">
        <v>8000</v>
      </c>
      <c r="I622" s="4">
        <v>5000</v>
      </c>
      <c r="J622" s="4">
        <v>16000</v>
      </c>
      <c r="K622" t="s">
        <v>1059</v>
      </c>
      <c r="L622" s="5"/>
    </row>
    <row r="623" spans="1:12">
      <c r="A623" t="s">
        <v>513</v>
      </c>
      <c r="B623" s="2">
        <v>45796</v>
      </c>
      <c r="C623" t="s">
        <v>1027</v>
      </c>
      <c r="D623" t="s">
        <v>1013</v>
      </c>
      <c r="E623" t="s">
        <v>1042</v>
      </c>
      <c r="F623" t="s">
        <v>1022</v>
      </c>
      <c r="G623">
        <v>2</v>
      </c>
      <c r="H623" s="4">
        <v>5000</v>
      </c>
      <c r="I623" s="4">
        <v>3000</v>
      </c>
      <c r="J623" s="4">
        <v>10000</v>
      </c>
      <c r="K623" t="s">
        <v>1060</v>
      </c>
      <c r="L623" s="5"/>
    </row>
    <row r="624" spans="1:12">
      <c r="A624" t="s">
        <v>642</v>
      </c>
      <c r="B624" s="2">
        <v>45796</v>
      </c>
      <c r="C624" t="s">
        <v>1027</v>
      </c>
      <c r="D624" t="s">
        <v>1011</v>
      </c>
      <c r="E624" t="s">
        <v>1042</v>
      </c>
      <c r="F624" t="s">
        <v>1022</v>
      </c>
      <c r="G624">
        <v>1</v>
      </c>
      <c r="H624" s="4">
        <v>5000</v>
      </c>
      <c r="I624" s="4">
        <v>1500</v>
      </c>
      <c r="J624" s="4">
        <v>5000</v>
      </c>
      <c r="K624" t="s">
        <v>1058</v>
      </c>
      <c r="L624" s="5"/>
    </row>
    <row r="625" spans="1:12">
      <c r="A625" t="s">
        <v>1003</v>
      </c>
      <c r="B625" s="2">
        <v>45796</v>
      </c>
      <c r="C625" t="s">
        <v>1026</v>
      </c>
      <c r="D625" t="s">
        <v>1012</v>
      </c>
      <c r="E625" t="s">
        <v>1043</v>
      </c>
      <c r="F625" t="s">
        <v>1021</v>
      </c>
      <c r="G625">
        <v>2</v>
      </c>
      <c r="H625" s="4">
        <v>6000</v>
      </c>
      <c r="I625" s="4">
        <v>3600</v>
      </c>
      <c r="J625" s="4">
        <v>12000</v>
      </c>
      <c r="K625" t="s">
        <v>1060</v>
      </c>
      <c r="L625" s="5"/>
    </row>
    <row r="626" spans="1:12">
      <c r="A626" t="s">
        <v>483</v>
      </c>
      <c r="B626" s="2">
        <v>45795</v>
      </c>
      <c r="C626" t="s">
        <v>1026</v>
      </c>
      <c r="D626" t="s">
        <v>1011</v>
      </c>
      <c r="E626" t="s">
        <v>1044</v>
      </c>
      <c r="F626" t="s">
        <v>1014</v>
      </c>
      <c r="G626">
        <v>1</v>
      </c>
      <c r="H626" s="4">
        <v>2500</v>
      </c>
      <c r="I626" s="4">
        <v>500</v>
      </c>
      <c r="J626" s="4">
        <v>2500</v>
      </c>
      <c r="K626" t="s">
        <v>1060</v>
      </c>
      <c r="L626" s="5"/>
    </row>
    <row r="627" spans="1:12">
      <c r="A627" t="s">
        <v>597</v>
      </c>
      <c r="B627" s="2">
        <v>45795</v>
      </c>
      <c r="C627" t="s">
        <v>1026</v>
      </c>
      <c r="D627" t="s">
        <v>1012</v>
      </c>
      <c r="E627" t="s">
        <v>1044</v>
      </c>
      <c r="F627" t="s">
        <v>1014</v>
      </c>
      <c r="G627">
        <v>2</v>
      </c>
      <c r="H627" s="4">
        <v>2500</v>
      </c>
      <c r="I627" s="4">
        <v>1000</v>
      </c>
      <c r="J627" s="4">
        <v>5000</v>
      </c>
      <c r="K627" t="s">
        <v>1058</v>
      </c>
      <c r="L627" s="5"/>
    </row>
    <row r="628" spans="1:12">
      <c r="A628" t="s">
        <v>720</v>
      </c>
      <c r="B628" s="2">
        <v>45795</v>
      </c>
      <c r="C628" t="s">
        <v>1025</v>
      </c>
      <c r="D628" t="s">
        <v>1013</v>
      </c>
      <c r="E628" t="s">
        <v>1044</v>
      </c>
      <c r="F628" t="s">
        <v>1063</v>
      </c>
      <c r="G628">
        <v>1</v>
      </c>
      <c r="H628" s="4">
        <v>7000</v>
      </c>
      <c r="I628" s="4">
        <v>2000</v>
      </c>
      <c r="J628" s="4">
        <v>7000</v>
      </c>
      <c r="K628" t="s">
        <v>1059</v>
      </c>
      <c r="L628" s="5"/>
    </row>
    <row r="629" spans="1:12">
      <c r="A629" t="s">
        <v>738</v>
      </c>
      <c r="B629" s="2">
        <v>45795</v>
      </c>
      <c r="C629" t="s">
        <v>1025</v>
      </c>
      <c r="D629" t="s">
        <v>1012</v>
      </c>
      <c r="E629" t="s">
        <v>1043</v>
      </c>
      <c r="F629" t="s">
        <v>1023</v>
      </c>
      <c r="G629">
        <v>1</v>
      </c>
      <c r="H629" s="4">
        <v>3000</v>
      </c>
      <c r="I629" s="4">
        <v>700</v>
      </c>
      <c r="J629" s="4">
        <v>3000</v>
      </c>
      <c r="K629" t="s">
        <v>1060</v>
      </c>
      <c r="L629" s="5"/>
    </row>
    <row r="630" spans="1:12">
      <c r="A630" t="s">
        <v>85</v>
      </c>
      <c r="B630" s="2">
        <v>45794</v>
      </c>
      <c r="C630" t="s">
        <v>1027</v>
      </c>
      <c r="D630" t="s">
        <v>1011</v>
      </c>
      <c r="E630" t="s">
        <v>1042</v>
      </c>
      <c r="F630" t="s">
        <v>1019</v>
      </c>
      <c r="G630">
        <v>1</v>
      </c>
      <c r="H630" s="4">
        <v>3000</v>
      </c>
      <c r="I630" s="4">
        <v>800</v>
      </c>
      <c r="J630" s="4">
        <v>3000</v>
      </c>
      <c r="K630" t="s">
        <v>1059</v>
      </c>
      <c r="L630" s="5"/>
    </row>
    <row r="631" spans="1:12">
      <c r="A631" t="s">
        <v>27</v>
      </c>
      <c r="B631" s="2">
        <v>45793</v>
      </c>
      <c r="C631" t="s">
        <v>1027</v>
      </c>
      <c r="D631" t="s">
        <v>1013</v>
      </c>
      <c r="E631" t="s">
        <v>1043</v>
      </c>
      <c r="F631" t="s">
        <v>1023</v>
      </c>
      <c r="G631">
        <v>1</v>
      </c>
      <c r="H631" s="4">
        <v>3000</v>
      </c>
      <c r="I631" s="4">
        <v>700</v>
      </c>
      <c r="J631" s="4">
        <v>3000</v>
      </c>
      <c r="K631" t="s">
        <v>1060</v>
      </c>
      <c r="L631" s="5"/>
    </row>
    <row r="632" spans="1:12">
      <c r="A632" t="s">
        <v>72</v>
      </c>
      <c r="B632" s="2">
        <v>45793</v>
      </c>
      <c r="C632" t="s">
        <v>1027</v>
      </c>
      <c r="D632" t="s">
        <v>1013</v>
      </c>
      <c r="E632" t="s">
        <v>1041</v>
      </c>
      <c r="F632" t="s">
        <v>1017</v>
      </c>
      <c r="G632">
        <v>1</v>
      </c>
      <c r="H632" s="4">
        <v>2500</v>
      </c>
      <c r="I632" s="4">
        <v>700</v>
      </c>
      <c r="J632" s="4">
        <v>2500</v>
      </c>
      <c r="K632" t="s">
        <v>1060</v>
      </c>
      <c r="L632" s="5"/>
    </row>
    <row r="633" spans="1:12">
      <c r="A633" t="s">
        <v>398</v>
      </c>
      <c r="B633" s="2">
        <v>45793</v>
      </c>
      <c r="C633" t="s">
        <v>1025</v>
      </c>
      <c r="D633" t="s">
        <v>1012</v>
      </c>
      <c r="E633" t="s">
        <v>1044</v>
      </c>
      <c r="F633" t="s">
        <v>1020</v>
      </c>
      <c r="G633">
        <v>1</v>
      </c>
      <c r="H633" s="4">
        <v>7500</v>
      </c>
      <c r="I633" s="4">
        <v>2200</v>
      </c>
      <c r="J633" s="4">
        <v>7500</v>
      </c>
      <c r="K633" t="s">
        <v>1058</v>
      </c>
      <c r="L633" s="5"/>
    </row>
    <row r="634" spans="1:12">
      <c r="A634" t="s">
        <v>974</v>
      </c>
      <c r="B634" s="2">
        <v>45793</v>
      </c>
      <c r="C634" t="s">
        <v>1027</v>
      </c>
      <c r="D634" t="s">
        <v>1013</v>
      </c>
      <c r="E634" t="s">
        <v>1042</v>
      </c>
      <c r="F634" t="s">
        <v>1022</v>
      </c>
      <c r="G634">
        <v>1</v>
      </c>
      <c r="H634" s="4">
        <v>5000</v>
      </c>
      <c r="I634" s="4">
        <v>1500</v>
      </c>
      <c r="J634" s="4">
        <v>5000</v>
      </c>
      <c r="K634" t="s">
        <v>1059</v>
      </c>
      <c r="L634" s="5"/>
    </row>
    <row r="635" spans="1:12">
      <c r="A635" t="s">
        <v>623</v>
      </c>
      <c r="B635" s="2">
        <v>45792</v>
      </c>
      <c r="C635" t="s">
        <v>1027</v>
      </c>
      <c r="D635" t="s">
        <v>1013</v>
      </c>
      <c r="E635" t="s">
        <v>1041</v>
      </c>
      <c r="F635" t="s">
        <v>1017</v>
      </c>
      <c r="G635">
        <v>1</v>
      </c>
      <c r="H635" s="4">
        <v>2500</v>
      </c>
      <c r="I635" s="4">
        <v>700</v>
      </c>
      <c r="J635" s="4">
        <v>2500</v>
      </c>
      <c r="K635" t="s">
        <v>1059</v>
      </c>
      <c r="L635" s="5"/>
    </row>
    <row r="636" spans="1:12">
      <c r="A636" t="s">
        <v>635</v>
      </c>
      <c r="B636" s="2">
        <v>45792</v>
      </c>
      <c r="C636" t="s">
        <v>1025</v>
      </c>
      <c r="D636" t="s">
        <v>1011</v>
      </c>
      <c r="E636" t="s">
        <v>1044</v>
      </c>
      <c r="F636" t="s">
        <v>1063</v>
      </c>
      <c r="G636">
        <v>1</v>
      </c>
      <c r="H636" s="4">
        <v>7000</v>
      </c>
      <c r="I636" s="4">
        <v>2000</v>
      </c>
      <c r="J636" s="4">
        <v>7000</v>
      </c>
      <c r="K636" t="s">
        <v>1060</v>
      </c>
      <c r="L636" s="5"/>
    </row>
    <row r="637" spans="1:12">
      <c r="A637" t="s">
        <v>951</v>
      </c>
      <c r="B637" s="2">
        <v>45792</v>
      </c>
      <c r="C637" t="s">
        <v>1027</v>
      </c>
      <c r="D637" t="s">
        <v>1012</v>
      </c>
      <c r="E637" t="s">
        <v>1041</v>
      </c>
      <c r="F637" t="s">
        <v>1017</v>
      </c>
      <c r="G637">
        <v>1</v>
      </c>
      <c r="H637" s="4">
        <v>2500</v>
      </c>
      <c r="I637" s="4">
        <v>700</v>
      </c>
      <c r="J637" s="4">
        <v>2500</v>
      </c>
      <c r="K637" t="s">
        <v>1059</v>
      </c>
      <c r="L637" s="5"/>
    </row>
    <row r="638" spans="1:12">
      <c r="A638" t="s">
        <v>125</v>
      </c>
      <c r="B638" s="2">
        <v>45791</v>
      </c>
      <c r="C638" t="s">
        <v>1026</v>
      </c>
      <c r="D638" t="s">
        <v>1012</v>
      </c>
      <c r="E638" t="s">
        <v>1041</v>
      </c>
      <c r="F638" t="s">
        <v>1016</v>
      </c>
      <c r="G638">
        <v>1</v>
      </c>
      <c r="H638" s="4">
        <v>3000</v>
      </c>
      <c r="I638" s="4">
        <v>800</v>
      </c>
      <c r="J638" s="4">
        <v>3000</v>
      </c>
      <c r="K638" t="s">
        <v>1059</v>
      </c>
      <c r="L638" s="5"/>
    </row>
    <row r="639" spans="1:12">
      <c r="A639" t="s">
        <v>364</v>
      </c>
      <c r="B639" s="2">
        <v>45791</v>
      </c>
      <c r="C639" t="s">
        <v>1025</v>
      </c>
      <c r="D639" t="s">
        <v>1012</v>
      </c>
      <c r="E639" t="s">
        <v>1041</v>
      </c>
      <c r="F639" t="s">
        <v>1017</v>
      </c>
      <c r="G639">
        <v>1</v>
      </c>
      <c r="H639" s="4">
        <v>2500</v>
      </c>
      <c r="I639" s="4">
        <v>700</v>
      </c>
      <c r="J639" s="4">
        <v>2500</v>
      </c>
      <c r="K639" t="s">
        <v>1059</v>
      </c>
      <c r="L639" s="5"/>
    </row>
    <row r="640" spans="1:12">
      <c r="A640" t="s">
        <v>442</v>
      </c>
      <c r="B640" s="2">
        <v>45791</v>
      </c>
      <c r="C640" t="s">
        <v>1026</v>
      </c>
      <c r="D640" t="s">
        <v>1013</v>
      </c>
      <c r="E640" t="s">
        <v>1044</v>
      </c>
      <c r="F640" t="s">
        <v>1014</v>
      </c>
      <c r="G640">
        <v>1</v>
      </c>
      <c r="H640" s="4">
        <v>2500</v>
      </c>
      <c r="I640" s="4">
        <v>500</v>
      </c>
      <c r="J640" s="4">
        <v>2500</v>
      </c>
      <c r="K640" t="s">
        <v>1058</v>
      </c>
      <c r="L640" s="5"/>
    </row>
    <row r="641" spans="1:12">
      <c r="A641" t="s">
        <v>444</v>
      </c>
      <c r="B641" s="2">
        <v>45791</v>
      </c>
      <c r="C641" t="s">
        <v>1025</v>
      </c>
      <c r="D641" t="s">
        <v>1012</v>
      </c>
      <c r="E641" t="s">
        <v>1043</v>
      </c>
      <c r="F641" t="s">
        <v>1021</v>
      </c>
      <c r="G641">
        <v>1</v>
      </c>
      <c r="H641" s="4">
        <v>6000</v>
      </c>
      <c r="I641" s="4">
        <v>1800</v>
      </c>
      <c r="J641" s="4">
        <v>6000</v>
      </c>
      <c r="K641" t="s">
        <v>1060</v>
      </c>
      <c r="L641" s="5"/>
    </row>
    <row r="642" spans="1:12">
      <c r="A642" t="s">
        <v>664</v>
      </c>
      <c r="B642" s="2">
        <v>45791</v>
      </c>
      <c r="C642" t="s">
        <v>1027</v>
      </c>
      <c r="D642" t="s">
        <v>1013</v>
      </c>
      <c r="E642" t="s">
        <v>1042</v>
      </c>
      <c r="F642" t="s">
        <v>1015</v>
      </c>
      <c r="G642">
        <v>1</v>
      </c>
      <c r="H642" s="4">
        <v>4000</v>
      </c>
      <c r="I642" s="4">
        <v>1000</v>
      </c>
      <c r="J642" s="4">
        <v>4000</v>
      </c>
      <c r="K642" t="s">
        <v>1058</v>
      </c>
      <c r="L642" s="5"/>
    </row>
    <row r="643" spans="1:12">
      <c r="A643" t="s">
        <v>707</v>
      </c>
      <c r="B643" s="2">
        <v>45791</v>
      </c>
      <c r="C643" t="s">
        <v>1027</v>
      </c>
      <c r="D643" t="s">
        <v>1013</v>
      </c>
      <c r="E643" t="s">
        <v>1041</v>
      </c>
      <c r="F643" t="s">
        <v>1061</v>
      </c>
      <c r="G643">
        <v>1</v>
      </c>
      <c r="H643" s="4">
        <v>5000</v>
      </c>
      <c r="I643" s="4">
        <v>1500</v>
      </c>
      <c r="J643" s="4">
        <v>5000</v>
      </c>
      <c r="K643" t="s">
        <v>1058</v>
      </c>
      <c r="L643" s="5"/>
    </row>
    <row r="644" spans="1:12">
      <c r="A644" t="s">
        <v>942</v>
      </c>
      <c r="B644" s="2">
        <v>45791</v>
      </c>
      <c r="C644" t="s">
        <v>1025</v>
      </c>
      <c r="D644" t="s">
        <v>1012</v>
      </c>
      <c r="E644" t="s">
        <v>1043</v>
      </c>
      <c r="F644" t="s">
        <v>1021</v>
      </c>
      <c r="G644">
        <v>1</v>
      </c>
      <c r="H644" s="4">
        <v>6000</v>
      </c>
      <c r="I644" s="4">
        <v>1800</v>
      </c>
      <c r="J644" s="4">
        <v>6000</v>
      </c>
      <c r="K644" t="s">
        <v>1060</v>
      </c>
      <c r="L644" s="5"/>
    </row>
    <row r="645" spans="1:12">
      <c r="A645" t="s">
        <v>994</v>
      </c>
      <c r="B645" s="2">
        <v>45791</v>
      </c>
      <c r="C645" t="s">
        <v>1026</v>
      </c>
      <c r="D645" t="s">
        <v>1012</v>
      </c>
      <c r="E645" t="s">
        <v>1043</v>
      </c>
      <c r="F645" t="s">
        <v>1023</v>
      </c>
      <c r="G645">
        <v>1</v>
      </c>
      <c r="H645" s="4">
        <v>3000</v>
      </c>
      <c r="I645" s="4">
        <v>700</v>
      </c>
      <c r="J645" s="4">
        <v>3000</v>
      </c>
      <c r="K645" t="s">
        <v>1060</v>
      </c>
      <c r="L645" s="5"/>
    </row>
    <row r="646" spans="1:12">
      <c r="A646" t="s">
        <v>876</v>
      </c>
      <c r="B646" s="2">
        <v>45790</v>
      </c>
      <c r="C646" t="s">
        <v>1026</v>
      </c>
      <c r="D646" t="s">
        <v>1012</v>
      </c>
      <c r="E646" t="s">
        <v>1041</v>
      </c>
      <c r="F646" t="s">
        <v>1017</v>
      </c>
      <c r="G646">
        <v>1</v>
      </c>
      <c r="H646" s="4">
        <v>2500</v>
      </c>
      <c r="I646" s="4">
        <v>700</v>
      </c>
      <c r="J646" s="4">
        <v>2500</v>
      </c>
      <c r="K646" t="s">
        <v>1058</v>
      </c>
      <c r="L646" s="5"/>
    </row>
    <row r="647" spans="1:12">
      <c r="A647" t="s">
        <v>481</v>
      </c>
      <c r="B647" s="2">
        <v>45788</v>
      </c>
      <c r="C647" t="s">
        <v>1027</v>
      </c>
      <c r="D647" t="s">
        <v>1012</v>
      </c>
      <c r="E647" t="s">
        <v>1044</v>
      </c>
      <c r="F647" t="s">
        <v>1020</v>
      </c>
      <c r="G647">
        <v>1</v>
      </c>
      <c r="H647" s="4">
        <v>7500</v>
      </c>
      <c r="I647" s="4">
        <v>2200</v>
      </c>
      <c r="J647" s="4">
        <v>7500</v>
      </c>
      <c r="K647" t="s">
        <v>1060</v>
      </c>
      <c r="L647" s="5"/>
    </row>
    <row r="648" spans="1:12">
      <c r="A648" t="s">
        <v>993</v>
      </c>
      <c r="B648" s="2">
        <v>45788</v>
      </c>
      <c r="C648" t="s">
        <v>1026</v>
      </c>
      <c r="D648" t="s">
        <v>1011</v>
      </c>
      <c r="E648" t="s">
        <v>1041</v>
      </c>
      <c r="F648" t="s">
        <v>1061</v>
      </c>
      <c r="G648">
        <v>1</v>
      </c>
      <c r="H648" s="4">
        <v>5000</v>
      </c>
      <c r="I648" s="4">
        <v>1500</v>
      </c>
      <c r="J648" s="4">
        <v>5000</v>
      </c>
      <c r="K648" t="s">
        <v>1059</v>
      </c>
      <c r="L648" s="5"/>
    </row>
    <row r="649" spans="1:12">
      <c r="A649" t="s">
        <v>159</v>
      </c>
      <c r="B649" s="2">
        <v>45787</v>
      </c>
      <c r="C649" t="s">
        <v>1026</v>
      </c>
      <c r="D649" t="s">
        <v>1013</v>
      </c>
      <c r="E649" t="s">
        <v>1041</v>
      </c>
      <c r="F649" t="s">
        <v>1016</v>
      </c>
      <c r="G649">
        <v>1</v>
      </c>
      <c r="H649" s="4">
        <v>3000</v>
      </c>
      <c r="I649" s="4">
        <v>800</v>
      </c>
      <c r="J649" s="4">
        <v>3000</v>
      </c>
      <c r="K649" t="s">
        <v>1059</v>
      </c>
      <c r="L649" s="5"/>
    </row>
    <row r="650" spans="1:12">
      <c r="A650" t="s">
        <v>339</v>
      </c>
      <c r="B650" s="2">
        <v>45787</v>
      </c>
      <c r="C650" t="s">
        <v>1025</v>
      </c>
      <c r="D650" t="s">
        <v>1013</v>
      </c>
      <c r="E650" t="s">
        <v>1044</v>
      </c>
      <c r="F650" t="s">
        <v>1020</v>
      </c>
      <c r="G650">
        <v>1</v>
      </c>
      <c r="H650" s="4">
        <v>7500</v>
      </c>
      <c r="I650" s="4">
        <v>2200</v>
      </c>
      <c r="J650" s="4">
        <v>7500</v>
      </c>
      <c r="K650" t="s">
        <v>1058</v>
      </c>
      <c r="L650" s="5"/>
    </row>
    <row r="651" spans="1:12">
      <c r="A651" t="s">
        <v>544</v>
      </c>
      <c r="B651" s="2">
        <v>45787</v>
      </c>
      <c r="C651" t="s">
        <v>1025</v>
      </c>
      <c r="D651" t="s">
        <v>1013</v>
      </c>
      <c r="E651" t="s">
        <v>1044</v>
      </c>
      <c r="F651" t="s">
        <v>1063</v>
      </c>
      <c r="G651">
        <v>1</v>
      </c>
      <c r="H651" s="4">
        <v>7000</v>
      </c>
      <c r="I651" s="4">
        <v>2000</v>
      </c>
      <c r="J651" s="4">
        <v>7000</v>
      </c>
      <c r="K651" t="s">
        <v>1060</v>
      </c>
      <c r="L651" s="5"/>
    </row>
    <row r="652" spans="1:12">
      <c r="A652" t="s">
        <v>75</v>
      </c>
      <c r="B652" s="2">
        <v>45786</v>
      </c>
      <c r="C652" t="s">
        <v>1027</v>
      </c>
      <c r="D652" t="s">
        <v>1013</v>
      </c>
      <c r="E652" t="s">
        <v>1043</v>
      </c>
      <c r="F652" t="s">
        <v>1018</v>
      </c>
      <c r="G652">
        <v>2</v>
      </c>
      <c r="H652" s="4">
        <v>2500</v>
      </c>
      <c r="I652" s="4">
        <v>1200</v>
      </c>
      <c r="J652" s="4">
        <v>5000</v>
      </c>
      <c r="K652" t="s">
        <v>1060</v>
      </c>
      <c r="L652" s="5"/>
    </row>
    <row r="653" spans="1:12">
      <c r="A653" t="s">
        <v>891</v>
      </c>
      <c r="B653" s="2">
        <v>45786</v>
      </c>
      <c r="C653" t="s">
        <v>1027</v>
      </c>
      <c r="D653" t="s">
        <v>1013</v>
      </c>
      <c r="E653" t="s">
        <v>1042</v>
      </c>
      <c r="F653" t="s">
        <v>1015</v>
      </c>
      <c r="G653">
        <v>1</v>
      </c>
      <c r="H653" s="4">
        <v>4000</v>
      </c>
      <c r="I653" s="4">
        <v>1000</v>
      </c>
      <c r="J653" s="4">
        <v>4000</v>
      </c>
      <c r="K653" t="s">
        <v>1060</v>
      </c>
      <c r="L653" s="5"/>
    </row>
    <row r="654" spans="1:12">
      <c r="A654" t="s">
        <v>392</v>
      </c>
      <c r="B654" s="2">
        <v>45785</v>
      </c>
      <c r="C654" t="s">
        <v>1027</v>
      </c>
      <c r="D654" t="s">
        <v>1012</v>
      </c>
      <c r="E654" t="s">
        <v>1044</v>
      </c>
      <c r="F654" t="s">
        <v>1020</v>
      </c>
      <c r="G654">
        <v>2</v>
      </c>
      <c r="H654" s="4">
        <v>7500</v>
      </c>
      <c r="I654" s="4">
        <v>4400</v>
      </c>
      <c r="J654" s="4">
        <v>15000</v>
      </c>
      <c r="K654" t="s">
        <v>1060</v>
      </c>
      <c r="L654" s="5"/>
    </row>
    <row r="655" spans="1:12">
      <c r="A655" t="s">
        <v>129</v>
      </c>
      <c r="B655" s="2">
        <v>45784</v>
      </c>
      <c r="C655" t="s">
        <v>1027</v>
      </c>
      <c r="D655" t="s">
        <v>1013</v>
      </c>
      <c r="E655" t="s">
        <v>1041</v>
      </c>
      <c r="F655" t="s">
        <v>1061</v>
      </c>
      <c r="G655">
        <v>1</v>
      </c>
      <c r="H655" s="4">
        <v>5000</v>
      </c>
      <c r="I655" s="4">
        <v>1500</v>
      </c>
      <c r="J655" s="4">
        <v>5000</v>
      </c>
      <c r="K655" t="s">
        <v>1060</v>
      </c>
      <c r="L655" s="5"/>
    </row>
    <row r="656" spans="1:12">
      <c r="A656" t="s">
        <v>450</v>
      </c>
      <c r="B656" s="2">
        <v>45784</v>
      </c>
      <c r="C656" t="s">
        <v>1025</v>
      </c>
      <c r="D656" t="s">
        <v>1011</v>
      </c>
      <c r="E656" t="s">
        <v>1042</v>
      </c>
      <c r="F656" t="s">
        <v>1019</v>
      </c>
      <c r="G656">
        <v>1</v>
      </c>
      <c r="H656" s="4">
        <v>3000</v>
      </c>
      <c r="I656" s="4">
        <v>800</v>
      </c>
      <c r="J656" s="4">
        <v>3000</v>
      </c>
      <c r="K656" t="s">
        <v>1059</v>
      </c>
      <c r="L656" s="5"/>
    </row>
    <row r="657" spans="1:12">
      <c r="A657" t="s">
        <v>591</v>
      </c>
      <c r="B657" s="2">
        <v>45784</v>
      </c>
      <c r="C657" t="s">
        <v>1025</v>
      </c>
      <c r="D657" t="s">
        <v>1012</v>
      </c>
      <c r="E657" t="s">
        <v>1042</v>
      </c>
      <c r="F657" t="s">
        <v>1022</v>
      </c>
      <c r="G657">
        <v>1</v>
      </c>
      <c r="H657" s="4">
        <v>5000</v>
      </c>
      <c r="I657" s="4">
        <v>1500</v>
      </c>
      <c r="J657" s="4">
        <v>5000</v>
      </c>
      <c r="K657" t="s">
        <v>1058</v>
      </c>
      <c r="L657" s="5"/>
    </row>
    <row r="658" spans="1:12">
      <c r="A658" t="s">
        <v>629</v>
      </c>
      <c r="B658" s="2">
        <v>45783</v>
      </c>
      <c r="C658" t="s">
        <v>1027</v>
      </c>
      <c r="D658" t="s">
        <v>1012</v>
      </c>
      <c r="E658" t="s">
        <v>1044</v>
      </c>
      <c r="F658" t="s">
        <v>1014</v>
      </c>
      <c r="G658">
        <v>1</v>
      </c>
      <c r="H658" s="4">
        <v>2500</v>
      </c>
      <c r="I658" s="4">
        <v>500</v>
      </c>
      <c r="J658" s="4">
        <v>2500</v>
      </c>
      <c r="K658" t="s">
        <v>1059</v>
      </c>
      <c r="L658" s="5"/>
    </row>
    <row r="659" spans="1:12">
      <c r="A659" t="s">
        <v>639</v>
      </c>
      <c r="B659" s="2">
        <v>45783</v>
      </c>
      <c r="C659" t="s">
        <v>1027</v>
      </c>
      <c r="D659" t="s">
        <v>1012</v>
      </c>
      <c r="E659" t="s">
        <v>1041</v>
      </c>
      <c r="F659" t="s">
        <v>1061</v>
      </c>
      <c r="G659">
        <v>1</v>
      </c>
      <c r="H659" s="4">
        <v>5000</v>
      </c>
      <c r="I659" s="4">
        <v>1500</v>
      </c>
      <c r="J659" s="4">
        <v>5000</v>
      </c>
      <c r="K659" t="s">
        <v>1058</v>
      </c>
      <c r="L659" s="5"/>
    </row>
    <row r="660" spans="1:12">
      <c r="A660" t="s">
        <v>49</v>
      </c>
      <c r="B660" s="2">
        <v>45782</v>
      </c>
      <c r="C660" t="s">
        <v>1026</v>
      </c>
      <c r="D660" t="s">
        <v>1012</v>
      </c>
      <c r="E660" t="s">
        <v>1041</v>
      </c>
      <c r="F660" t="s">
        <v>1016</v>
      </c>
      <c r="G660">
        <v>2</v>
      </c>
      <c r="H660" s="4">
        <v>3000</v>
      </c>
      <c r="I660" s="4">
        <v>1600</v>
      </c>
      <c r="J660" s="4">
        <v>6000</v>
      </c>
      <c r="K660" t="s">
        <v>1059</v>
      </c>
      <c r="L660" s="5"/>
    </row>
    <row r="661" spans="1:12">
      <c r="A661" t="s">
        <v>427</v>
      </c>
      <c r="B661" s="2">
        <v>45782</v>
      </c>
      <c r="C661" t="s">
        <v>1027</v>
      </c>
      <c r="D661" t="s">
        <v>1011</v>
      </c>
      <c r="E661" t="s">
        <v>1043</v>
      </c>
      <c r="F661" t="s">
        <v>1021</v>
      </c>
      <c r="G661">
        <v>1</v>
      </c>
      <c r="H661" s="4">
        <v>6000</v>
      </c>
      <c r="I661" s="4">
        <v>1800</v>
      </c>
      <c r="J661" s="4">
        <v>6000</v>
      </c>
      <c r="K661" t="s">
        <v>1060</v>
      </c>
      <c r="L661" s="5"/>
    </row>
    <row r="662" spans="1:12">
      <c r="A662" t="s">
        <v>487</v>
      </c>
      <c r="B662" s="2">
        <v>45782</v>
      </c>
      <c r="C662" t="s">
        <v>1025</v>
      </c>
      <c r="D662" t="s">
        <v>1011</v>
      </c>
      <c r="E662" t="s">
        <v>1042</v>
      </c>
      <c r="F662" t="s">
        <v>1019</v>
      </c>
      <c r="G662">
        <v>2</v>
      </c>
      <c r="H662" s="4">
        <v>3000</v>
      </c>
      <c r="I662" s="4">
        <v>1600</v>
      </c>
      <c r="J662" s="4">
        <v>6000</v>
      </c>
      <c r="K662" t="s">
        <v>1060</v>
      </c>
      <c r="L662" s="5"/>
    </row>
    <row r="663" spans="1:12">
      <c r="A663" t="s">
        <v>559</v>
      </c>
      <c r="B663" s="2">
        <v>45782</v>
      </c>
      <c r="C663" t="s">
        <v>1025</v>
      </c>
      <c r="D663" t="s">
        <v>1013</v>
      </c>
      <c r="E663" t="s">
        <v>1042</v>
      </c>
      <c r="F663" t="s">
        <v>1015</v>
      </c>
      <c r="G663">
        <v>1</v>
      </c>
      <c r="H663" s="4">
        <v>4000</v>
      </c>
      <c r="I663" s="4">
        <v>1000</v>
      </c>
      <c r="J663" s="4">
        <v>4000</v>
      </c>
      <c r="K663" t="s">
        <v>1060</v>
      </c>
      <c r="L663" s="5"/>
    </row>
    <row r="664" spans="1:12">
      <c r="A664" t="s">
        <v>336</v>
      </c>
      <c r="B664" s="2">
        <v>45781</v>
      </c>
      <c r="C664" t="s">
        <v>1025</v>
      </c>
      <c r="D664" t="s">
        <v>1012</v>
      </c>
      <c r="E664" t="s">
        <v>1043</v>
      </c>
      <c r="F664" t="s">
        <v>1021</v>
      </c>
      <c r="G664">
        <v>1</v>
      </c>
      <c r="H664" s="4">
        <v>6000</v>
      </c>
      <c r="I664" s="4">
        <v>1800</v>
      </c>
      <c r="J664" s="4">
        <v>6000</v>
      </c>
      <c r="K664" t="s">
        <v>1059</v>
      </c>
      <c r="L664" s="5"/>
    </row>
    <row r="665" spans="1:12">
      <c r="A665" t="s">
        <v>390</v>
      </c>
      <c r="B665" s="2">
        <v>45781</v>
      </c>
      <c r="C665" t="s">
        <v>1026</v>
      </c>
      <c r="D665" t="s">
        <v>1013</v>
      </c>
      <c r="E665" t="s">
        <v>1041</v>
      </c>
      <c r="F665" t="s">
        <v>1017</v>
      </c>
      <c r="G665">
        <v>1</v>
      </c>
      <c r="H665" s="4">
        <v>2500</v>
      </c>
      <c r="I665" s="4">
        <v>700</v>
      </c>
      <c r="J665" s="4">
        <v>2500</v>
      </c>
      <c r="K665" t="s">
        <v>1058</v>
      </c>
      <c r="L665" s="5"/>
    </row>
    <row r="666" spans="1:12">
      <c r="A666" t="s">
        <v>395</v>
      </c>
      <c r="B666" s="2">
        <v>45781</v>
      </c>
      <c r="C666" t="s">
        <v>1027</v>
      </c>
      <c r="D666" t="s">
        <v>1011</v>
      </c>
      <c r="E666" t="s">
        <v>1044</v>
      </c>
      <c r="F666" t="s">
        <v>1020</v>
      </c>
      <c r="G666">
        <v>2</v>
      </c>
      <c r="H666" s="4">
        <v>7500</v>
      </c>
      <c r="I666" s="4">
        <v>4400</v>
      </c>
      <c r="J666" s="4">
        <v>15000</v>
      </c>
      <c r="K666" t="s">
        <v>1058</v>
      </c>
      <c r="L666" s="5"/>
    </row>
    <row r="667" spans="1:12">
      <c r="A667" t="s">
        <v>468</v>
      </c>
      <c r="B667" s="2">
        <v>45781</v>
      </c>
      <c r="C667" t="s">
        <v>1027</v>
      </c>
      <c r="D667" t="s">
        <v>1013</v>
      </c>
      <c r="E667" t="s">
        <v>1042</v>
      </c>
      <c r="F667" t="s">
        <v>1019</v>
      </c>
      <c r="G667">
        <v>1</v>
      </c>
      <c r="H667" s="4">
        <v>3000</v>
      </c>
      <c r="I667" s="4">
        <v>800</v>
      </c>
      <c r="J667" s="4">
        <v>3000</v>
      </c>
      <c r="K667" t="s">
        <v>1059</v>
      </c>
      <c r="L667" s="5"/>
    </row>
    <row r="668" spans="1:12">
      <c r="A668" t="s">
        <v>39</v>
      </c>
      <c r="B668" s="2">
        <v>45780</v>
      </c>
      <c r="C668" t="s">
        <v>1027</v>
      </c>
      <c r="D668" t="s">
        <v>1013</v>
      </c>
      <c r="E668" t="s">
        <v>1042</v>
      </c>
      <c r="F668" t="s">
        <v>1019</v>
      </c>
      <c r="G668">
        <v>1</v>
      </c>
      <c r="H668" s="4">
        <v>3000</v>
      </c>
      <c r="I668" s="4">
        <v>800</v>
      </c>
      <c r="J668" s="4">
        <v>3000</v>
      </c>
      <c r="K668" t="s">
        <v>1060</v>
      </c>
      <c r="L668" s="5"/>
    </row>
    <row r="669" spans="1:12">
      <c r="A669" t="s">
        <v>333</v>
      </c>
      <c r="B669" s="2">
        <v>45780</v>
      </c>
      <c r="C669" t="s">
        <v>1026</v>
      </c>
      <c r="D669" t="s">
        <v>1011</v>
      </c>
      <c r="E669" t="s">
        <v>1041</v>
      </c>
      <c r="F669" t="s">
        <v>1017</v>
      </c>
      <c r="G669">
        <v>1</v>
      </c>
      <c r="H669" s="4">
        <v>2500</v>
      </c>
      <c r="I669" s="4">
        <v>700</v>
      </c>
      <c r="J669" s="4">
        <v>2500</v>
      </c>
      <c r="K669" t="s">
        <v>1060</v>
      </c>
      <c r="L669" s="5"/>
    </row>
    <row r="670" spans="1:12">
      <c r="A670" t="s">
        <v>488</v>
      </c>
      <c r="B670" s="2">
        <v>45780</v>
      </c>
      <c r="C670" t="s">
        <v>1025</v>
      </c>
      <c r="D670" t="s">
        <v>1012</v>
      </c>
      <c r="E670" t="s">
        <v>1044</v>
      </c>
      <c r="F670" t="s">
        <v>1014</v>
      </c>
      <c r="G670">
        <v>2</v>
      </c>
      <c r="H670" s="4">
        <v>2500</v>
      </c>
      <c r="I670" s="4">
        <v>1000</v>
      </c>
      <c r="J670" s="4">
        <v>5000</v>
      </c>
      <c r="K670" t="s">
        <v>1058</v>
      </c>
      <c r="L670" s="5"/>
    </row>
    <row r="671" spans="1:12">
      <c r="A671" t="s">
        <v>83</v>
      </c>
      <c r="B671" s="2">
        <v>45779</v>
      </c>
      <c r="C671" t="s">
        <v>1027</v>
      </c>
      <c r="D671" t="s">
        <v>1013</v>
      </c>
      <c r="E671" t="s">
        <v>1042</v>
      </c>
      <c r="F671" t="s">
        <v>1022</v>
      </c>
      <c r="G671">
        <v>1</v>
      </c>
      <c r="H671" s="4">
        <v>5000</v>
      </c>
      <c r="I671" s="4">
        <v>1500</v>
      </c>
      <c r="J671" s="4">
        <v>5000</v>
      </c>
      <c r="K671" t="s">
        <v>1058</v>
      </c>
      <c r="L671" s="5"/>
    </row>
    <row r="672" spans="1:12">
      <c r="A672" t="s">
        <v>217</v>
      </c>
      <c r="B672" s="2">
        <v>45779</v>
      </c>
      <c r="C672" t="s">
        <v>1026</v>
      </c>
      <c r="D672" t="s">
        <v>1011</v>
      </c>
      <c r="E672" t="s">
        <v>1043</v>
      </c>
      <c r="F672" t="s">
        <v>1023</v>
      </c>
      <c r="G672">
        <v>1</v>
      </c>
      <c r="H672" s="4">
        <v>3000</v>
      </c>
      <c r="I672" s="4">
        <v>700</v>
      </c>
      <c r="J672" s="4">
        <v>3000</v>
      </c>
      <c r="K672" t="s">
        <v>1058</v>
      </c>
      <c r="L672" s="5"/>
    </row>
    <row r="673" spans="1:12">
      <c r="A673" t="s">
        <v>370</v>
      </c>
      <c r="B673" s="2">
        <v>45779</v>
      </c>
      <c r="C673" t="s">
        <v>1026</v>
      </c>
      <c r="D673" t="s">
        <v>1013</v>
      </c>
      <c r="E673" t="s">
        <v>1044</v>
      </c>
      <c r="F673" t="s">
        <v>1014</v>
      </c>
      <c r="G673">
        <v>1</v>
      </c>
      <c r="H673" s="4">
        <v>2500</v>
      </c>
      <c r="I673" s="4">
        <v>500</v>
      </c>
      <c r="J673" s="4">
        <v>2500</v>
      </c>
      <c r="K673" t="s">
        <v>1058</v>
      </c>
      <c r="L673" s="5"/>
    </row>
    <row r="674" spans="1:12">
      <c r="A674" t="s">
        <v>655</v>
      </c>
      <c r="B674" s="2">
        <v>45779</v>
      </c>
      <c r="C674" t="s">
        <v>1026</v>
      </c>
      <c r="D674" t="s">
        <v>1012</v>
      </c>
      <c r="E674" t="s">
        <v>1044</v>
      </c>
      <c r="F674" t="s">
        <v>1020</v>
      </c>
      <c r="G674">
        <v>1</v>
      </c>
      <c r="H674" s="4">
        <v>7500</v>
      </c>
      <c r="I674" s="4">
        <v>2200</v>
      </c>
      <c r="J674" s="4">
        <v>7500</v>
      </c>
      <c r="K674" t="s">
        <v>1058</v>
      </c>
      <c r="L674" s="5"/>
    </row>
    <row r="675" spans="1:12">
      <c r="A675" t="s">
        <v>850</v>
      </c>
      <c r="B675" s="2">
        <v>45779</v>
      </c>
      <c r="C675" t="s">
        <v>1025</v>
      </c>
      <c r="D675" t="s">
        <v>1011</v>
      </c>
      <c r="E675" t="s">
        <v>1044</v>
      </c>
      <c r="F675" t="s">
        <v>1014</v>
      </c>
      <c r="G675">
        <v>2</v>
      </c>
      <c r="H675" s="4">
        <v>2500</v>
      </c>
      <c r="I675" s="4">
        <v>1000</v>
      </c>
      <c r="J675" s="4">
        <v>5000</v>
      </c>
      <c r="K675" t="s">
        <v>1058</v>
      </c>
      <c r="L675" s="5"/>
    </row>
    <row r="676" spans="1:12">
      <c r="A676" t="s">
        <v>291</v>
      </c>
      <c r="B676" s="2">
        <v>45778</v>
      </c>
      <c r="C676" t="s">
        <v>1027</v>
      </c>
      <c r="D676" t="s">
        <v>1013</v>
      </c>
      <c r="E676" t="s">
        <v>1044</v>
      </c>
      <c r="F676" t="s">
        <v>1062</v>
      </c>
      <c r="G676">
        <v>1</v>
      </c>
      <c r="H676" s="4">
        <v>8000</v>
      </c>
      <c r="I676" s="4">
        <v>2500</v>
      </c>
      <c r="J676" s="4">
        <v>8000</v>
      </c>
      <c r="K676" t="s">
        <v>1058</v>
      </c>
      <c r="L676" s="5"/>
    </row>
    <row r="677" spans="1:12">
      <c r="A677" t="s">
        <v>319</v>
      </c>
      <c r="B677" s="2">
        <v>45777</v>
      </c>
      <c r="C677" t="s">
        <v>1025</v>
      </c>
      <c r="D677" t="s">
        <v>1013</v>
      </c>
      <c r="E677" t="s">
        <v>1042</v>
      </c>
      <c r="F677" t="s">
        <v>1019</v>
      </c>
      <c r="G677">
        <v>2</v>
      </c>
      <c r="H677" s="4">
        <v>3000</v>
      </c>
      <c r="I677" s="4">
        <v>1600</v>
      </c>
      <c r="J677" s="4">
        <v>6000</v>
      </c>
      <c r="K677" t="s">
        <v>1058</v>
      </c>
      <c r="L677" s="5"/>
    </row>
    <row r="678" spans="1:12">
      <c r="A678" t="s">
        <v>657</v>
      </c>
      <c r="B678" s="2">
        <v>45777</v>
      </c>
      <c r="C678" t="s">
        <v>1027</v>
      </c>
      <c r="D678" t="s">
        <v>1013</v>
      </c>
      <c r="E678" t="s">
        <v>1043</v>
      </c>
      <c r="F678" t="s">
        <v>1023</v>
      </c>
      <c r="G678">
        <v>1</v>
      </c>
      <c r="H678" s="4">
        <v>3000</v>
      </c>
      <c r="I678" s="4">
        <v>700</v>
      </c>
      <c r="J678" s="4">
        <v>3000</v>
      </c>
      <c r="K678" t="s">
        <v>1059</v>
      </c>
      <c r="L678" s="5"/>
    </row>
    <row r="679" spans="1:12">
      <c r="A679" t="s">
        <v>652</v>
      </c>
      <c r="B679" s="2">
        <v>45776</v>
      </c>
      <c r="C679" t="s">
        <v>1025</v>
      </c>
      <c r="D679" t="s">
        <v>1012</v>
      </c>
      <c r="E679" t="s">
        <v>1041</v>
      </c>
      <c r="F679" t="s">
        <v>1017</v>
      </c>
      <c r="G679">
        <v>1</v>
      </c>
      <c r="H679" s="4">
        <v>2500</v>
      </c>
      <c r="I679" s="4">
        <v>700</v>
      </c>
      <c r="J679" s="4">
        <v>2500</v>
      </c>
      <c r="K679" t="s">
        <v>1060</v>
      </c>
      <c r="L679" s="5"/>
    </row>
    <row r="680" spans="1:12">
      <c r="A680" t="s">
        <v>909</v>
      </c>
      <c r="B680" s="2">
        <v>45776</v>
      </c>
      <c r="C680" t="s">
        <v>1027</v>
      </c>
      <c r="D680" t="s">
        <v>1012</v>
      </c>
      <c r="E680" t="s">
        <v>1042</v>
      </c>
      <c r="F680" t="s">
        <v>1019</v>
      </c>
      <c r="G680">
        <v>2</v>
      </c>
      <c r="H680" s="4">
        <v>3000</v>
      </c>
      <c r="I680" s="4">
        <v>1600</v>
      </c>
      <c r="J680" s="4">
        <v>6000</v>
      </c>
      <c r="K680" t="s">
        <v>1058</v>
      </c>
      <c r="L680" s="5"/>
    </row>
    <row r="681" spans="1:12">
      <c r="A681" t="s">
        <v>608</v>
      </c>
      <c r="B681" s="2">
        <v>45775</v>
      </c>
      <c r="C681" t="s">
        <v>1026</v>
      </c>
      <c r="D681" t="s">
        <v>1013</v>
      </c>
      <c r="E681" t="s">
        <v>1043</v>
      </c>
      <c r="F681" t="s">
        <v>1023</v>
      </c>
      <c r="G681">
        <v>1</v>
      </c>
      <c r="H681" s="4">
        <v>3000</v>
      </c>
      <c r="I681" s="4">
        <v>700</v>
      </c>
      <c r="J681" s="4">
        <v>3000</v>
      </c>
      <c r="K681" t="s">
        <v>1060</v>
      </c>
      <c r="L681" s="5"/>
    </row>
    <row r="682" spans="1:12">
      <c r="A682" t="s">
        <v>929</v>
      </c>
      <c r="B682" s="2">
        <v>45775</v>
      </c>
      <c r="C682" t="s">
        <v>1026</v>
      </c>
      <c r="D682" t="s">
        <v>1012</v>
      </c>
      <c r="E682" t="s">
        <v>1043</v>
      </c>
      <c r="F682" t="s">
        <v>1023</v>
      </c>
      <c r="G682">
        <v>1</v>
      </c>
      <c r="H682" s="4">
        <v>3000</v>
      </c>
      <c r="I682" s="4">
        <v>700</v>
      </c>
      <c r="J682" s="4">
        <v>3000</v>
      </c>
      <c r="K682" t="s">
        <v>1059</v>
      </c>
      <c r="L682" s="5"/>
    </row>
    <row r="683" spans="1:12">
      <c r="A683" t="s">
        <v>935</v>
      </c>
      <c r="B683" s="2">
        <v>45775</v>
      </c>
      <c r="C683" t="s">
        <v>1026</v>
      </c>
      <c r="D683" t="s">
        <v>1012</v>
      </c>
      <c r="E683" t="s">
        <v>1042</v>
      </c>
      <c r="F683" t="s">
        <v>1022</v>
      </c>
      <c r="G683">
        <v>2</v>
      </c>
      <c r="H683" s="4">
        <v>5000</v>
      </c>
      <c r="I683" s="4">
        <v>3000</v>
      </c>
      <c r="J683" s="4">
        <v>10000</v>
      </c>
      <c r="K683" t="s">
        <v>1058</v>
      </c>
      <c r="L683" s="5"/>
    </row>
    <row r="684" spans="1:12">
      <c r="A684" t="s">
        <v>87</v>
      </c>
      <c r="B684" s="2">
        <v>45774</v>
      </c>
      <c r="C684" t="s">
        <v>1027</v>
      </c>
      <c r="D684" t="s">
        <v>1013</v>
      </c>
      <c r="E684" t="s">
        <v>1044</v>
      </c>
      <c r="F684" t="s">
        <v>1062</v>
      </c>
      <c r="G684">
        <v>1</v>
      </c>
      <c r="H684" s="4">
        <v>8000</v>
      </c>
      <c r="I684" s="4">
        <v>2500</v>
      </c>
      <c r="J684" s="4">
        <v>8000</v>
      </c>
      <c r="K684" t="s">
        <v>1060</v>
      </c>
      <c r="L684" s="5"/>
    </row>
    <row r="685" spans="1:12">
      <c r="A685" t="s">
        <v>207</v>
      </c>
      <c r="B685" s="2">
        <v>45774</v>
      </c>
      <c r="C685" t="s">
        <v>1025</v>
      </c>
      <c r="D685" t="s">
        <v>1013</v>
      </c>
      <c r="E685" t="s">
        <v>1044</v>
      </c>
      <c r="F685" t="s">
        <v>1014</v>
      </c>
      <c r="G685">
        <v>1</v>
      </c>
      <c r="H685" s="4">
        <v>2500</v>
      </c>
      <c r="I685" s="4">
        <v>500</v>
      </c>
      <c r="J685" s="4">
        <v>2500</v>
      </c>
      <c r="K685" t="s">
        <v>1058</v>
      </c>
      <c r="L685" s="5"/>
    </row>
    <row r="686" spans="1:12">
      <c r="A686" t="s">
        <v>638</v>
      </c>
      <c r="B686" s="2">
        <v>45774</v>
      </c>
      <c r="C686" t="s">
        <v>1025</v>
      </c>
      <c r="D686" t="s">
        <v>1011</v>
      </c>
      <c r="E686" t="s">
        <v>1043</v>
      </c>
      <c r="F686" t="s">
        <v>1021</v>
      </c>
      <c r="G686">
        <v>1</v>
      </c>
      <c r="H686" s="4">
        <v>6000</v>
      </c>
      <c r="I686" s="4">
        <v>1800</v>
      </c>
      <c r="J686" s="4">
        <v>6000</v>
      </c>
      <c r="K686" t="s">
        <v>1059</v>
      </c>
      <c r="L686" s="5"/>
    </row>
    <row r="687" spans="1:12">
      <c r="A687" t="s">
        <v>737</v>
      </c>
      <c r="B687" s="2">
        <v>45774</v>
      </c>
      <c r="C687" t="s">
        <v>1027</v>
      </c>
      <c r="D687" t="s">
        <v>1012</v>
      </c>
      <c r="E687" t="s">
        <v>1042</v>
      </c>
      <c r="F687" t="s">
        <v>1015</v>
      </c>
      <c r="G687">
        <v>1</v>
      </c>
      <c r="H687" s="4">
        <v>4000</v>
      </c>
      <c r="I687" s="4">
        <v>1000</v>
      </c>
      <c r="J687" s="4">
        <v>4000</v>
      </c>
      <c r="K687" t="s">
        <v>1060</v>
      </c>
      <c r="L687" s="5"/>
    </row>
    <row r="688" spans="1:12">
      <c r="A688" t="s">
        <v>420</v>
      </c>
      <c r="B688" s="2">
        <v>45773</v>
      </c>
      <c r="C688" t="s">
        <v>1026</v>
      </c>
      <c r="D688" t="s">
        <v>1012</v>
      </c>
      <c r="E688" t="s">
        <v>1044</v>
      </c>
      <c r="F688" t="s">
        <v>1063</v>
      </c>
      <c r="G688">
        <v>1</v>
      </c>
      <c r="H688" s="4">
        <v>7000</v>
      </c>
      <c r="I688" s="4">
        <v>2000</v>
      </c>
      <c r="J688" s="4">
        <v>7000</v>
      </c>
      <c r="K688" t="s">
        <v>1060</v>
      </c>
      <c r="L688" s="5"/>
    </row>
    <row r="689" spans="1:12">
      <c r="A689" t="s">
        <v>780</v>
      </c>
      <c r="B689" s="2">
        <v>45773</v>
      </c>
      <c r="C689" t="s">
        <v>1025</v>
      </c>
      <c r="D689" t="s">
        <v>1012</v>
      </c>
      <c r="E689" t="s">
        <v>1041</v>
      </c>
      <c r="F689" t="s">
        <v>1061</v>
      </c>
      <c r="G689">
        <v>1</v>
      </c>
      <c r="H689" s="4">
        <v>5000</v>
      </c>
      <c r="I689" s="4">
        <v>1500</v>
      </c>
      <c r="J689" s="4">
        <v>5000</v>
      </c>
      <c r="K689" t="s">
        <v>1058</v>
      </c>
      <c r="L689" s="5"/>
    </row>
    <row r="690" spans="1:12">
      <c r="A690" t="s">
        <v>853</v>
      </c>
      <c r="B690" s="2">
        <v>45773</v>
      </c>
      <c r="C690" t="s">
        <v>1025</v>
      </c>
      <c r="D690" t="s">
        <v>1011</v>
      </c>
      <c r="E690" t="s">
        <v>1043</v>
      </c>
      <c r="F690" t="s">
        <v>1021</v>
      </c>
      <c r="G690">
        <v>2</v>
      </c>
      <c r="H690" s="4">
        <v>6000</v>
      </c>
      <c r="I690" s="4">
        <v>3600</v>
      </c>
      <c r="J690" s="4">
        <v>12000</v>
      </c>
      <c r="K690" t="s">
        <v>1060</v>
      </c>
      <c r="L690" s="5"/>
    </row>
    <row r="691" spans="1:12">
      <c r="A691" t="s">
        <v>128</v>
      </c>
      <c r="B691" s="2">
        <v>45772</v>
      </c>
      <c r="C691" t="s">
        <v>1025</v>
      </c>
      <c r="D691" t="s">
        <v>1013</v>
      </c>
      <c r="E691" t="s">
        <v>1041</v>
      </c>
      <c r="F691" t="s">
        <v>1061</v>
      </c>
      <c r="G691">
        <v>1</v>
      </c>
      <c r="H691" s="4">
        <v>5000</v>
      </c>
      <c r="I691" s="4">
        <v>1500</v>
      </c>
      <c r="J691" s="4">
        <v>5000</v>
      </c>
      <c r="K691" t="s">
        <v>1060</v>
      </c>
      <c r="L691" s="5"/>
    </row>
    <row r="692" spans="1:12">
      <c r="A692" t="s">
        <v>266</v>
      </c>
      <c r="B692" s="2">
        <v>45772</v>
      </c>
      <c r="C692" t="s">
        <v>1027</v>
      </c>
      <c r="D692" t="s">
        <v>1012</v>
      </c>
      <c r="E692" t="s">
        <v>1042</v>
      </c>
      <c r="F692" t="s">
        <v>1015</v>
      </c>
      <c r="G692">
        <v>2</v>
      </c>
      <c r="H692" s="4">
        <v>4000</v>
      </c>
      <c r="I692" s="4">
        <v>2000</v>
      </c>
      <c r="J692" s="4">
        <v>8000</v>
      </c>
      <c r="K692" t="s">
        <v>1060</v>
      </c>
      <c r="L692" s="5"/>
    </row>
    <row r="693" spans="1:12">
      <c r="A693" t="s">
        <v>641</v>
      </c>
      <c r="B693" s="2">
        <v>45772</v>
      </c>
      <c r="C693" t="s">
        <v>1026</v>
      </c>
      <c r="D693" t="s">
        <v>1013</v>
      </c>
      <c r="E693" t="s">
        <v>1042</v>
      </c>
      <c r="F693" t="s">
        <v>1022</v>
      </c>
      <c r="G693">
        <v>2</v>
      </c>
      <c r="H693" s="4">
        <v>5000</v>
      </c>
      <c r="I693" s="4">
        <v>3000</v>
      </c>
      <c r="J693" s="4">
        <v>10000</v>
      </c>
      <c r="K693" t="s">
        <v>1058</v>
      </c>
      <c r="L693" s="5"/>
    </row>
    <row r="694" spans="1:12">
      <c r="A694" t="s">
        <v>695</v>
      </c>
      <c r="B694" s="2">
        <v>45772</v>
      </c>
      <c r="C694" t="s">
        <v>1025</v>
      </c>
      <c r="D694" t="s">
        <v>1011</v>
      </c>
      <c r="E694" t="s">
        <v>1043</v>
      </c>
      <c r="F694" t="s">
        <v>1021</v>
      </c>
      <c r="G694">
        <v>1</v>
      </c>
      <c r="H694" s="4">
        <v>6000</v>
      </c>
      <c r="I694" s="4">
        <v>1800</v>
      </c>
      <c r="J694" s="4">
        <v>6000</v>
      </c>
      <c r="K694" t="s">
        <v>1059</v>
      </c>
      <c r="L694" s="5"/>
    </row>
    <row r="695" spans="1:12">
      <c r="A695" t="s">
        <v>752</v>
      </c>
      <c r="B695" s="2">
        <v>45772</v>
      </c>
      <c r="C695" t="s">
        <v>1026</v>
      </c>
      <c r="D695" t="s">
        <v>1011</v>
      </c>
      <c r="E695" t="s">
        <v>1043</v>
      </c>
      <c r="F695" t="s">
        <v>1021</v>
      </c>
      <c r="G695">
        <v>1</v>
      </c>
      <c r="H695" s="4">
        <v>6000</v>
      </c>
      <c r="I695" s="4">
        <v>1800</v>
      </c>
      <c r="J695" s="4">
        <v>6000</v>
      </c>
      <c r="K695" t="s">
        <v>1058</v>
      </c>
      <c r="L695" s="5"/>
    </row>
    <row r="696" spans="1:12">
      <c r="A696" t="s">
        <v>289</v>
      </c>
      <c r="B696" s="2">
        <v>45771</v>
      </c>
      <c r="C696" t="s">
        <v>1026</v>
      </c>
      <c r="D696" t="s">
        <v>1013</v>
      </c>
      <c r="E696" t="s">
        <v>1042</v>
      </c>
      <c r="F696" t="s">
        <v>1022</v>
      </c>
      <c r="G696">
        <v>1</v>
      </c>
      <c r="H696" s="4">
        <v>5000</v>
      </c>
      <c r="I696" s="4">
        <v>1500</v>
      </c>
      <c r="J696" s="4">
        <v>5000</v>
      </c>
      <c r="K696" t="s">
        <v>1059</v>
      </c>
      <c r="L696" s="5"/>
    </row>
    <row r="697" spans="1:12">
      <c r="A697" t="s">
        <v>551</v>
      </c>
      <c r="B697" s="2">
        <v>45771</v>
      </c>
      <c r="C697" t="s">
        <v>1025</v>
      </c>
      <c r="D697" t="s">
        <v>1011</v>
      </c>
      <c r="E697" t="s">
        <v>1041</v>
      </c>
      <c r="F697" t="s">
        <v>1017</v>
      </c>
      <c r="G697">
        <v>1</v>
      </c>
      <c r="H697" s="4">
        <v>2500</v>
      </c>
      <c r="I697" s="4">
        <v>700</v>
      </c>
      <c r="J697" s="4">
        <v>2500</v>
      </c>
      <c r="K697" t="s">
        <v>1060</v>
      </c>
      <c r="L697" s="5"/>
    </row>
    <row r="698" spans="1:12">
      <c r="A698" t="s">
        <v>749</v>
      </c>
      <c r="B698" s="2">
        <v>45771</v>
      </c>
      <c r="C698" t="s">
        <v>1025</v>
      </c>
      <c r="D698" t="s">
        <v>1013</v>
      </c>
      <c r="E698" t="s">
        <v>1041</v>
      </c>
      <c r="F698" t="s">
        <v>1016</v>
      </c>
      <c r="G698">
        <v>1</v>
      </c>
      <c r="H698" s="4">
        <v>3000</v>
      </c>
      <c r="I698" s="4">
        <v>800</v>
      </c>
      <c r="J698" s="4">
        <v>3000</v>
      </c>
      <c r="K698" t="s">
        <v>1060</v>
      </c>
      <c r="L698" s="5"/>
    </row>
    <row r="699" spans="1:12">
      <c r="A699" t="s">
        <v>767</v>
      </c>
      <c r="B699" s="2">
        <v>45771</v>
      </c>
      <c r="C699" t="s">
        <v>1026</v>
      </c>
      <c r="D699" t="s">
        <v>1013</v>
      </c>
      <c r="E699" t="s">
        <v>1042</v>
      </c>
      <c r="F699" t="s">
        <v>1015</v>
      </c>
      <c r="G699">
        <v>1</v>
      </c>
      <c r="H699" s="4">
        <v>4000</v>
      </c>
      <c r="I699" s="4">
        <v>1000</v>
      </c>
      <c r="J699" s="4">
        <v>4000</v>
      </c>
      <c r="K699" t="s">
        <v>1060</v>
      </c>
      <c r="L699" s="5"/>
    </row>
    <row r="700" spans="1:12">
      <c r="A700" t="s">
        <v>863</v>
      </c>
      <c r="B700" s="2">
        <v>45771</v>
      </c>
      <c r="C700" t="s">
        <v>1027</v>
      </c>
      <c r="D700" t="s">
        <v>1011</v>
      </c>
      <c r="E700" t="s">
        <v>1041</v>
      </c>
      <c r="F700" t="s">
        <v>1017</v>
      </c>
      <c r="G700">
        <v>1</v>
      </c>
      <c r="H700" s="4">
        <v>2500</v>
      </c>
      <c r="I700" s="4">
        <v>700</v>
      </c>
      <c r="J700" s="4">
        <v>2500</v>
      </c>
      <c r="K700" t="s">
        <v>1058</v>
      </c>
      <c r="L700" s="5"/>
    </row>
    <row r="701" spans="1:12">
      <c r="A701" t="s">
        <v>897</v>
      </c>
      <c r="B701" s="2">
        <v>45771</v>
      </c>
      <c r="C701" t="s">
        <v>1025</v>
      </c>
      <c r="D701" t="s">
        <v>1011</v>
      </c>
      <c r="E701" t="s">
        <v>1044</v>
      </c>
      <c r="F701" t="s">
        <v>1062</v>
      </c>
      <c r="G701">
        <v>1</v>
      </c>
      <c r="H701" s="4">
        <v>8000</v>
      </c>
      <c r="I701" s="4">
        <v>2500</v>
      </c>
      <c r="J701" s="4">
        <v>8000</v>
      </c>
      <c r="K701" t="s">
        <v>1060</v>
      </c>
      <c r="L701" s="5"/>
    </row>
    <row r="702" spans="1:12">
      <c r="A702" t="s">
        <v>12</v>
      </c>
      <c r="B702" s="2">
        <v>45770</v>
      </c>
      <c r="C702" t="s">
        <v>1026</v>
      </c>
      <c r="D702" t="s">
        <v>1011</v>
      </c>
      <c r="E702" t="s">
        <v>1042</v>
      </c>
      <c r="F702" t="s">
        <v>1022</v>
      </c>
      <c r="G702">
        <v>2</v>
      </c>
      <c r="H702" s="4">
        <v>5000</v>
      </c>
      <c r="I702" s="4">
        <v>3000</v>
      </c>
      <c r="J702" s="4">
        <v>10000</v>
      </c>
      <c r="K702" t="s">
        <v>1058</v>
      </c>
      <c r="L702" s="5"/>
    </row>
    <row r="703" spans="1:12">
      <c r="A703" t="s">
        <v>239</v>
      </c>
      <c r="B703" s="2">
        <v>45769</v>
      </c>
      <c r="C703" t="s">
        <v>1026</v>
      </c>
      <c r="D703" t="s">
        <v>1012</v>
      </c>
      <c r="E703" t="s">
        <v>1041</v>
      </c>
      <c r="F703" t="s">
        <v>1061</v>
      </c>
      <c r="G703">
        <v>1</v>
      </c>
      <c r="H703" s="4">
        <v>5000</v>
      </c>
      <c r="I703" s="4">
        <v>1500</v>
      </c>
      <c r="J703" s="4">
        <v>5000</v>
      </c>
      <c r="K703" t="s">
        <v>1059</v>
      </c>
      <c r="L703" s="5"/>
    </row>
    <row r="704" spans="1:12">
      <c r="A704" t="s">
        <v>501</v>
      </c>
      <c r="B704" s="2">
        <v>45769</v>
      </c>
      <c r="C704" t="s">
        <v>1025</v>
      </c>
      <c r="D704" t="s">
        <v>1012</v>
      </c>
      <c r="E704" t="s">
        <v>1041</v>
      </c>
      <c r="F704" t="s">
        <v>1016</v>
      </c>
      <c r="G704">
        <v>1</v>
      </c>
      <c r="H704" s="4">
        <v>3000</v>
      </c>
      <c r="I704" s="4">
        <v>800</v>
      </c>
      <c r="J704" s="4">
        <v>3000</v>
      </c>
      <c r="K704" t="s">
        <v>1058</v>
      </c>
      <c r="L704" s="5"/>
    </row>
    <row r="705" spans="1:12">
      <c r="A705" t="s">
        <v>613</v>
      </c>
      <c r="B705" s="2">
        <v>45769</v>
      </c>
      <c r="C705" t="s">
        <v>1027</v>
      </c>
      <c r="D705" t="s">
        <v>1013</v>
      </c>
      <c r="E705" t="s">
        <v>1043</v>
      </c>
      <c r="F705" t="s">
        <v>1021</v>
      </c>
      <c r="G705">
        <v>2</v>
      </c>
      <c r="H705" s="4">
        <v>6000</v>
      </c>
      <c r="I705" s="4">
        <v>3600</v>
      </c>
      <c r="J705" s="4">
        <v>12000</v>
      </c>
      <c r="K705" t="s">
        <v>1059</v>
      </c>
      <c r="L705" s="5"/>
    </row>
    <row r="706" spans="1:12">
      <c r="A706" t="s">
        <v>972</v>
      </c>
      <c r="B706" s="2">
        <v>45769</v>
      </c>
      <c r="C706" t="s">
        <v>1025</v>
      </c>
      <c r="D706" t="s">
        <v>1012</v>
      </c>
      <c r="E706" t="s">
        <v>1044</v>
      </c>
      <c r="F706" t="s">
        <v>1062</v>
      </c>
      <c r="G706">
        <v>1</v>
      </c>
      <c r="H706" s="4">
        <v>8000</v>
      </c>
      <c r="I706" s="4">
        <v>2500</v>
      </c>
      <c r="J706" s="4">
        <v>8000</v>
      </c>
      <c r="K706" t="s">
        <v>1059</v>
      </c>
      <c r="L706" s="5"/>
    </row>
    <row r="707" spans="1:12">
      <c r="A707" t="s">
        <v>14</v>
      </c>
      <c r="B707" s="2">
        <v>45768</v>
      </c>
      <c r="C707" t="s">
        <v>1026</v>
      </c>
      <c r="D707" t="s">
        <v>1013</v>
      </c>
      <c r="E707" t="s">
        <v>1044</v>
      </c>
      <c r="F707" t="s">
        <v>1063</v>
      </c>
      <c r="G707">
        <v>1</v>
      </c>
      <c r="H707" s="4">
        <v>7000</v>
      </c>
      <c r="I707" s="4">
        <v>2000</v>
      </c>
      <c r="J707" s="4">
        <v>7000</v>
      </c>
      <c r="K707" t="s">
        <v>1059</v>
      </c>
      <c r="L707" s="5"/>
    </row>
    <row r="708" spans="1:12">
      <c r="A708" t="s">
        <v>662</v>
      </c>
      <c r="B708" s="2">
        <v>45768</v>
      </c>
      <c r="C708" t="s">
        <v>1026</v>
      </c>
      <c r="D708" t="s">
        <v>1013</v>
      </c>
      <c r="E708" t="s">
        <v>1042</v>
      </c>
      <c r="F708" t="s">
        <v>1022</v>
      </c>
      <c r="G708">
        <v>1</v>
      </c>
      <c r="H708" s="4">
        <v>5000</v>
      </c>
      <c r="I708" s="4">
        <v>1500</v>
      </c>
      <c r="J708" s="4">
        <v>5000</v>
      </c>
      <c r="K708" t="s">
        <v>1059</v>
      </c>
      <c r="L708" s="5"/>
    </row>
    <row r="709" spans="1:12">
      <c r="A709" t="s">
        <v>425</v>
      </c>
      <c r="B709" s="2">
        <v>45767</v>
      </c>
      <c r="C709" t="s">
        <v>1027</v>
      </c>
      <c r="D709" t="s">
        <v>1011</v>
      </c>
      <c r="E709" t="s">
        <v>1044</v>
      </c>
      <c r="F709" t="s">
        <v>1063</v>
      </c>
      <c r="G709">
        <v>2</v>
      </c>
      <c r="H709" s="4">
        <v>7000</v>
      </c>
      <c r="I709" s="4">
        <v>4000</v>
      </c>
      <c r="J709" s="4">
        <v>14000</v>
      </c>
      <c r="K709" t="s">
        <v>1058</v>
      </c>
      <c r="L709" s="5"/>
    </row>
    <row r="710" spans="1:12">
      <c r="A710" t="s">
        <v>42</v>
      </c>
      <c r="B710" s="2">
        <v>45766</v>
      </c>
      <c r="C710" t="s">
        <v>1025</v>
      </c>
      <c r="D710" t="s">
        <v>1011</v>
      </c>
      <c r="E710" t="s">
        <v>1043</v>
      </c>
      <c r="F710" t="s">
        <v>1021</v>
      </c>
      <c r="G710">
        <v>2</v>
      </c>
      <c r="H710" s="4">
        <v>6000</v>
      </c>
      <c r="I710" s="4">
        <v>3600</v>
      </c>
      <c r="J710" s="4">
        <v>12000</v>
      </c>
      <c r="K710" t="s">
        <v>1060</v>
      </c>
      <c r="L710" s="5"/>
    </row>
    <row r="711" spans="1:12">
      <c r="A711" t="s">
        <v>887</v>
      </c>
      <c r="B711" s="2">
        <v>45766</v>
      </c>
      <c r="C711" t="s">
        <v>1026</v>
      </c>
      <c r="D711" t="s">
        <v>1011</v>
      </c>
      <c r="E711" t="s">
        <v>1042</v>
      </c>
      <c r="F711" t="s">
        <v>1022</v>
      </c>
      <c r="G711">
        <v>1</v>
      </c>
      <c r="H711" s="4">
        <v>5000</v>
      </c>
      <c r="I711" s="4">
        <v>1500</v>
      </c>
      <c r="J711" s="4">
        <v>5000</v>
      </c>
      <c r="K711" t="s">
        <v>1060</v>
      </c>
      <c r="L711" s="5"/>
    </row>
    <row r="712" spans="1:12">
      <c r="A712" t="s">
        <v>918</v>
      </c>
      <c r="B712" s="2">
        <v>45766</v>
      </c>
      <c r="C712" t="s">
        <v>1027</v>
      </c>
      <c r="D712" t="s">
        <v>1013</v>
      </c>
      <c r="E712" t="s">
        <v>1043</v>
      </c>
      <c r="F712" t="s">
        <v>1018</v>
      </c>
      <c r="G712">
        <v>1</v>
      </c>
      <c r="H712" s="4">
        <v>2500</v>
      </c>
      <c r="I712" s="4">
        <v>600</v>
      </c>
      <c r="J712" s="4">
        <v>2500</v>
      </c>
      <c r="K712" t="s">
        <v>1059</v>
      </c>
      <c r="L712" s="5"/>
    </row>
    <row r="713" spans="1:12">
      <c r="A713" t="s">
        <v>871</v>
      </c>
      <c r="B713" s="2">
        <v>45765</v>
      </c>
      <c r="C713" t="s">
        <v>1025</v>
      </c>
      <c r="D713" t="s">
        <v>1011</v>
      </c>
      <c r="E713" t="s">
        <v>1041</v>
      </c>
      <c r="F713" t="s">
        <v>1061</v>
      </c>
      <c r="G713">
        <v>1</v>
      </c>
      <c r="H713" s="4">
        <v>5000</v>
      </c>
      <c r="I713" s="4">
        <v>1500</v>
      </c>
      <c r="J713" s="4">
        <v>5000</v>
      </c>
      <c r="K713" t="s">
        <v>1059</v>
      </c>
      <c r="L713" s="5"/>
    </row>
    <row r="714" spans="1:12">
      <c r="A714" t="s">
        <v>986</v>
      </c>
      <c r="B714" s="2">
        <v>45765</v>
      </c>
      <c r="C714" t="s">
        <v>1026</v>
      </c>
      <c r="D714" t="s">
        <v>1011</v>
      </c>
      <c r="E714" t="s">
        <v>1043</v>
      </c>
      <c r="F714" t="s">
        <v>1023</v>
      </c>
      <c r="G714">
        <v>2</v>
      </c>
      <c r="H714" s="4">
        <v>3000</v>
      </c>
      <c r="I714" s="4">
        <v>1400</v>
      </c>
      <c r="J714" s="4">
        <v>6000</v>
      </c>
      <c r="K714" t="s">
        <v>1058</v>
      </c>
      <c r="L714" s="5"/>
    </row>
    <row r="715" spans="1:12">
      <c r="A715" t="s">
        <v>1006</v>
      </c>
      <c r="B715" s="2">
        <v>45765</v>
      </c>
      <c r="C715" t="s">
        <v>1027</v>
      </c>
      <c r="D715" t="s">
        <v>1012</v>
      </c>
      <c r="E715" t="s">
        <v>1042</v>
      </c>
      <c r="F715" t="s">
        <v>1022</v>
      </c>
      <c r="G715">
        <v>1</v>
      </c>
      <c r="H715" s="4">
        <v>5000</v>
      </c>
      <c r="I715" s="4">
        <v>1500</v>
      </c>
      <c r="J715" s="4">
        <v>5000</v>
      </c>
      <c r="K715" t="s">
        <v>1059</v>
      </c>
      <c r="L715" s="5"/>
    </row>
    <row r="716" spans="1:12">
      <c r="A716" t="s">
        <v>165</v>
      </c>
      <c r="B716" s="2">
        <v>45764</v>
      </c>
      <c r="C716" t="s">
        <v>1025</v>
      </c>
      <c r="D716" t="s">
        <v>1013</v>
      </c>
      <c r="E716" t="s">
        <v>1043</v>
      </c>
      <c r="F716" t="s">
        <v>1021</v>
      </c>
      <c r="G716">
        <v>1</v>
      </c>
      <c r="H716" s="4">
        <v>6000</v>
      </c>
      <c r="I716" s="4">
        <v>1800</v>
      </c>
      <c r="J716" s="4">
        <v>6000</v>
      </c>
      <c r="K716" t="s">
        <v>1058</v>
      </c>
      <c r="L716" s="5"/>
    </row>
    <row r="717" spans="1:12">
      <c r="A717" t="s">
        <v>564</v>
      </c>
      <c r="B717" s="2">
        <v>45763</v>
      </c>
      <c r="C717" t="s">
        <v>1026</v>
      </c>
      <c r="D717" t="s">
        <v>1011</v>
      </c>
      <c r="E717" t="s">
        <v>1042</v>
      </c>
      <c r="F717" t="s">
        <v>1022</v>
      </c>
      <c r="G717">
        <v>1</v>
      </c>
      <c r="H717" s="4">
        <v>5000</v>
      </c>
      <c r="I717" s="4">
        <v>1500</v>
      </c>
      <c r="J717" s="4">
        <v>5000</v>
      </c>
      <c r="K717" t="s">
        <v>1059</v>
      </c>
      <c r="L717" s="5"/>
    </row>
    <row r="718" spans="1:12">
      <c r="A718" t="s">
        <v>586</v>
      </c>
      <c r="B718" s="2">
        <v>45763</v>
      </c>
      <c r="C718" t="s">
        <v>1027</v>
      </c>
      <c r="D718" t="s">
        <v>1013</v>
      </c>
      <c r="E718" t="s">
        <v>1041</v>
      </c>
      <c r="F718" t="s">
        <v>1016</v>
      </c>
      <c r="G718">
        <v>1</v>
      </c>
      <c r="H718" s="4">
        <v>3000</v>
      </c>
      <c r="I718" s="4">
        <v>800</v>
      </c>
      <c r="J718" s="4">
        <v>3000</v>
      </c>
      <c r="K718" t="s">
        <v>1060</v>
      </c>
      <c r="L718" s="5"/>
    </row>
    <row r="719" spans="1:12">
      <c r="A719" t="s">
        <v>791</v>
      </c>
      <c r="B719" s="2">
        <v>45763</v>
      </c>
      <c r="C719" t="s">
        <v>1025</v>
      </c>
      <c r="D719" t="s">
        <v>1011</v>
      </c>
      <c r="E719" t="s">
        <v>1042</v>
      </c>
      <c r="F719" t="s">
        <v>1022</v>
      </c>
      <c r="G719">
        <v>1</v>
      </c>
      <c r="H719" s="4">
        <v>5000</v>
      </c>
      <c r="I719" s="4">
        <v>1500</v>
      </c>
      <c r="J719" s="4">
        <v>5000</v>
      </c>
      <c r="K719" t="s">
        <v>1060</v>
      </c>
      <c r="L719" s="5"/>
    </row>
    <row r="720" spans="1:12">
      <c r="A720" t="s">
        <v>65</v>
      </c>
      <c r="B720" s="2">
        <v>45762</v>
      </c>
      <c r="C720" t="s">
        <v>1025</v>
      </c>
      <c r="D720" t="s">
        <v>1011</v>
      </c>
      <c r="E720" t="s">
        <v>1044</v>
      </c>
      <c r="F720" t="s">
        <v>1062</v>
      </c>
      <c r="G720">
        <v>1</v>
      </c>
      <c r="H720" s="4">
        <v>8000</v>
      </c>
      <c r="I720" s="4">
        <v>2500</v>
      </c>
      <c r="J720" s="4">
        <v>8000</v>
      </c>
      <c r="K720" t="s">
        <v>1058</v>
      </c>
      <c r="L720" s="5"/>
    </row>
    <row r="721" spans="1:12">
      <c r="A721" t="s">
        <v>74</v>
      </c>
      <c r="B721" s="2">
        <v>45762</v>
      </c>
      <c r="C721" t="s">
        <v>1025</v>
      </c>
      <c r="D721" t="s">
        <v>1011</v>
      </c>
      <c r="E721" t="s">
        <v>1042</v>
      </c>
      <c r="F721" t="s">
        <v>1022</v>
      </c>
      <c r="G721">
        <v>1</v>
      </c>
      <c r="H721" s="4">
        <v>5000</v>
      </c>
      <c r="I721" s="4">
        <v>1500</v>
      </c>
      <c r="J721" s="4">
        <v>5000</v>
      </c>
      <c r="K721" t="s">
        <v>1058</v>
      </c>
      <c r="L721" s="5"/>
    </row>
    <row r="722" spans="1:12">
      <c r="A722" t="s">
        <v>848</v>
      </c>
      <c r="B722" s="2">
        <v>45762</v>
      </c>
      <c r="C722" t="s">
        <v>1025</v>
      </c>
      <c r="D722" t="s">
        <v>1013</v>
      </c>
      <c r="E722" t="s">
        <v>1041</v>
      </c>
      <c r="F722" t="s">
        <v>1061</v>
      </c>
      <c r="G722">
        <v>1</v>
      </c>
      <c r="H722" s="4">
        <v>5000</v>
      </c>
      <c r="I722" s="4">
        <v>1500</v>
      </c>
      <c r="J722" s="4">
        <v>5000</v>
      </c>
      <c r="K722" t="s">
        <v>1058</v>
      </c>
      <c r="L722" s="5"/>
    </row>
    <row r="723" spans="1:12">
      <c r="A723" t="s">
        <v>727</v>
      </c>
      <c r="B723" s="2">
        <v>45761</v>
      </c>
      <c r="C723" t="s">
        <v>1025</v>
      </c>
      <c r="D723" t="s">
        <v>1013</v>
      </c>
      <c r="E723" t="s">
        <v>1042</v>
      </c>
      <c r="F723" t="s">
        <v>1015</v>
      </c>
      <c r="G723">
        <v>2</v>
      </c>
      <c r="H723" s="4">
        <v>4000</v>
      </c>
      <c r="I723" s="4">
        <v>2000</v>
      </c>
      <c r="J723" s="4">
        <v>8000</v>
      </c>
      <c r="K723" t="s">
        <v>1060</v>
      </c>
      <c r="L723" s="5"/>
    </row>
    <row r="724" spans="1:12">
      <c r="A724" t="s">
        <v>930</v>
      </c>
      <c r="B724" s="2">
        <v>45761</v>
      </c>
      <c r="C724" t="s">
        <v>1025</v>
      </c>
      <c r="D724" t="s">
        <v>1011</v>
      </c>
      <c r="E724" t="s">
        <v>1041</v>
      </c>
      <c r="F724" t="s">
        <v>1017</v>
      </c>
      <c r="G724">
        <v>1</v>
      </c>
      <c r="H724" s="4">
        <v>2500</v>
      </c>
      <c r="I724" s="4">
        <v>700</v>
      </c>
      <c r="J724" s="4">
        <v>2500</v>
      </c>
      <c r="K724" t="s">
        <v>1060</v>
      </c>
      <c r="L724" s="5"/>
    </row>
    <row r="725" spans="1:12">
      <c r="A725" t="s">
        <v>225</v>
      </c>
      <c r="B725" s="2">
        <v>45760</v>
      </c>
      <c r="C725" t="s">
        <v>1027</v>
      </c>
      <c r="D725" t="s">
        <v>1011</v>
      </c>
      <c r="E725" t="s">
        <v>1044</v>
      </c>
      <c r="F725" t="s">
        <v>1020</v>
      </c>
      <c r="G725">
        <v>1</v>
      </c>
      <c r="H725" s="4">
        <v>7500</v>
      </c>
      <c r="I725" s="4">
        <v>2200</v>
      </c>
      <c r="J725" s="4">
        <v>7500</v>
      </c>
      <c r="K725" t="s">
        <v>1058</v>
      </c>
      <c r="L725" s="5"/>
    </row>
    <row r="726" spans="1:12">
      <c r="A726" t="s">
        <v>322</v>
      </c>
      <c r="B726" s="2">
        <v>45760</v>
      </c>
      <c r="C726" t="s">
        <v>1025</v>
      </c>
      <c r="D726" t="s">
        <v>1013</v>
      </c>
      <c r="E726" t="s">
        <v>1044</v>
      </c>
      <c r="F726" t="s">
        <v>1020</v>
      </c>
      <c r="G726">
        <v>1</v>
      </c>
      <c r="H726" s="4">
        <v>7500</v>
      </c>
      <c r="I726" s="4">
        <v>2200</v>
      </c>
      <c r="J726" s="4">
        <v>7500</v>
      </c>
      <c r="K726" t="s">
        <v>1058</v>
      </c>
      <c r="L726" s="5"/>
    </row>
    <row r="727" spans="1:12">
      <c r="A727" t="s">
        <v>676</v>
      </c>
      <c r="B727" s="2">
        <v>45760</v>
      </c>
      <c r="C727" t="s">
        <v>1025</v>
      </c>
      <c r="D727" t="s">
        <v>1011</v>
      </c>
      <c r="E727" t="s">
        <v>1041</v>
      </c>
      <c r="F727" t="s">
        <v>1016</v>
      </c>
      <c r="G727">
        <v>2</v>
      </c>
      <c r="H727" s="4">
        <v>3000</v>
      </c>
      <c r="I727" s="4">
        <v>1600</v>
      </c>
      <c r="J727" s="4">
        <v>6000</v>
      </c>
      <c r="K727" t="s">
        <v>1059</v>
      </c>
      <c r="L727" s="5"/>
    </row>
    <row r="728" spans="1:12">
      <c r="A728" t="s">
        <v>715</v>
      </c>
      <c r="B728" s="2">
        <v>45760</v>
      </c>
      <c r="C728" t="s">
        <v>1027</v>
      </c>
      <c r="D728" t="s">
        <v>1013</v>
      </c>
      <c r="E728" t="s">
        <v>1044</v>
      </c>
      <c r="F728" t="s">
        <v>1063</v>
      </c>
      <c r="G728">
        <v>2</v>
      </c>
      <c r="H728" s="4">
        <v>7000</v>
      </c>
      <c r="I728" s="4">
        <v>4000</v>
      </c>
      <c r="J728" s="4">
        <v>14000</v>
      </c>
      <c r="K728" t="s">
        <v>1059</v>
      </c>
      <c r="L728" s="5"/>
    </row>
    <row r="729" spans="1:12">
      <c r="A729" t="s">
        <v>772</v>
      </c>
      <c r="B729" s="2">
        <v>45760</v>
      </c>
      <c r="C729" t="s">
        <v>1026</v>
      </c>
      <c r="D729" t="s">
        <v>1012</v>
      </c>
      <c r="E729" t="s">
        <v>1041</v>
      </c>
      <c r="F729" t="s">
        <v>1016</v>
      </c>
      <c r="G729">
        <v>1</v>
      </c>
      <c r="H729" s="4">
        <v>3000</v>
      </c>
      <c r="I729" s="4">
        <v>800</v>
      </c>
      <c r="J729" s="4">
        <v>3000</v>
      </c>
      <c r="K729" t="s">
        <v>1060</v>
      </c>
      <c r="L729" s="5"/>
    </row>
    <row r="730" spans="1:12">
      <c r="A730" t="s">
        <v>841</v>
      </c>
      <c r="B730" s="2">
        <v>45760</v>
      </c>
      <c r="C730" t="s">
        <v>1027</v>
      </c>
      <c r="D730" t="s">
        <v>1011</v>
      </c>
      <c r="E730" t="s">
        <v>1042</v>
      </c>
      <c r="F730" t="s">
        <v>1022</v>
      </c>
      <c r="G730">
        <v>1</v>
      </c>
      <c r="H730" s="4">
        <v>5000</v>
      </c>
      <c r="I730" s="4">
        <v>1500</v>
      </c>
      <c r="J730" s="4">
        <v>5000</v>
      </c>
      <c r="K730" t="s">
        <v>1060</v>
      </c>
      <c r="L730" s="5"/>
    </row>
    <row r="731" spans="1:12">
      <c r="A731" t="s">
        <v>647</v>
      </c>
      <c r="B731" s="2">
        <v>45758</v>
      </c>
      <c r="C731" t="s">
        <v>1025</v>
      </c>
      <c r="D731" t="s">
        <v>1011</v>
      </c>
      <c r="E731" t="s">
        <v>1043</v>
      </c>
      <c r="F731" t="s">
        <v>1021</v>
      </c>
      <c r="G731">
        <v>2</v>
      </c>
      <c r="H731" s="4">
        <v>6000</v>
      </c>
      <c r="I731" s="4">
        <v>3600</v>
      </c>
      <c r="J731" s="4">
        <v>12000</v>
      </c>
      <c r="K731" t="s">
        <v>1059</v>
      </c>
      <c r="L731" s="5"/>
    </row>
    <row r="732" spans="1:12">
      <c r="A732" t="s">
        <v>320</v>
      </c>
      <c r="B732" s="2">
        <v>45757</v>
      </c>
      <c r="C732" t="s">
        <v>1026</v>
      </c>
      <c r="D732" t="s">
        <v>1011</v>
      </c>
      <c r="E732" t="s">
        <v>1042</v>
      </c>
      <c r="F732" t="s">
        <v>1019</v>
      </c>
      <c r="G732">
        <v>2</v>
      </c>
      <c r="H732" s="4">
        <v>3000</v>
      </c>
      <c r="I732" s="4">
        <v>1600</v>
      </c>
      <c r="J732" s="4">
        <v>6000</v>
      </c>
      <c r="K732" t="s">
        <v>1060</v>
      </c>
      <c r="L732" s="5"/>
    </row>
    <row r="733" spans="1:12">
      <c r="A733" t="s">
        <v>955</v>
      </c>
      <c r="B733" s="2">
        <v>45757</v>
      </c>
      <c r="C733" t="s">
        <v>1027</v>
      </c>
      <c r="D733" t="s">
        <v>1011</v>
      </c>
      <c r="E733" t="s">
        <v>1042</v>
      </c>
      <c r="F733" t="s">
        <v>1019</v>
      </c>
      <c r="G733">
        <v>1</v>
      </c>
      <c r="H733" s="4">
        <v>3000</v>
      </c>
      <c r="I733" s="4">
        <v>800</v>
      </c>
      <c r="J733" s="4">
        <v>3000</v>
      </c>
      <c r="K733" t="s">
        <v>1060</v>
      </c>
      <c r="L733" s="5"/>
    </row>
    <row r="734" spans="1:12">
      <c r="A734" t="s">
        <v>153</v>
      </c>
      <c r="B734" s="2">
        <v>45756</v>
      </c>
      <c r="C734" t="s">
        <v>1027</v>
      </c>
      <c r="D734" t="s">
        <v>1011</v>
      </c>
      <c r="E734" t="s">
        <v>1042</v>
      </c>
      <c r="F734" t="s">
        <v>1019</v>
      </c>
      <c r="G734">
        <v>1</v>
      </c>
      <c r="H734" s="4">
        <v>3000</v>
      </c>
      <c r="I734" s="4">
        <v>800</v>
      </c>
      <c r="J734" s="4">
        <v>3000</v>
      </c>
      <c r="K734" t="s">
        <v>1058</v>
      </c>
      <c r="L734" s="5"/>
    </row>
    <row r="735" spans="1:12">
      <c r="A735" t="s">
        <v>313</v>
      </c>
      <c r="B735" s="2">
        <v>45756</v>
      </c>
      <c r="C735" t="s">
        <v>1027</v>
      </c>
      <c r="D735" t="s">
        <v>1013</v>
      </c>
      <c r="E735" t="s">
        <v>1044</v>
      </c>
      <c r="F735" t="s">
        <v>1062</v>
      </c>
      <c r="G735">
        <v>2</v>
      </c>
      <c r="H735" s="4">
        <v>8000</v>
      </c>
      <c r="I735" s="4">
        <v>5000</v>
      </c>
      <c r="J735" s="4">
        <v>16000</v>
      </c>
      <c r="K735" t="s">
        <v>1059</v>
      </c>
      <c r="L735" s="5"/>
    </row>
    <row r="736" spans="1:12">
      <c r="A736" t="s">
        <v>53</v>
      </c>
      <c r="B736" s="2">
        <v>45755</v>
      </c>
      <c r="C736" t="s">
        <v>1025</v>
      </c>
      <c r="D736" t="s">
        <v>1012</v>
      </c>
      <c r="E736" t="s">
        <v>1044</v>
      </c>
      <c r="F736" t="s">
        <v>1014</v>
      </c>
      <c r="G736">
        <v>1</v>
      </c>
      <c r="H736" s="4">
        <v>2500</v>
      </c>
      <c r="I736" s="4">
        <v>500</v>
      </c>
      <c r="J736" s="4">
        <v>2500</v>
      </c>
      <c r="K736" t="s">
        <v>1059</v>
      </c>
      <c r="L736" s="5"/>
    </row>
    <row r="737" spans="1:12">
      <c r="A737" t="s">
        <v>193</v>
      </c>
      <c r="B737" s="2">
        <v>45755</v>
      </c>
      <c r="C737" t="s">
        <v>1025</v>
      </c>
      <c r="D737" t="s">
        <v>1011</v>
      </c>
      <c r="E737" t="s">
        <v>1041</v>
      </c>
      <c r="F737" t="s">
        <v>1016</v>
      </c>
      <c r="G737">
        <v>2</v>
      </c>
      <c r="H737" s="4">
        <v>3000</v>
      </c>
      <c r="I737" s="4">
        <v>1600</v>
      </c>
      <c r="J737" s="4">
        <v>6000</v>
      </c>
      <c r="K737" t="s">
        <v>1060</v>
      </c>
      <c r="L737" s="5"/>
    </row>
    <row r="738" spans="1:12">
      <c r="A738" t="s">
        <v>393</v>
      </c>
      <c r="B738" s="2">
        <v>45755</v>
      </c>
      <c r="C738" t="s">
        <v>1027</v>
      </c>
      <c r="D738" t="s">
        <v>1012</v>
      </c>
      <c r="E738" t="s">
        <v>1042</v>
      </c>
      <c r="F738" t="s">
        <v>1022</v>
      </c>
      <c r="G738">
        <v>1</v>
      </c>
      <c r="H738" s="4">
        <v>5000</v>
      </c>
      <c r="I738" s="4">
        <v>1500</v>
      </c>
      <c r="J738" s="4">
        <v>5000</v>
      </c>
      <c r="K738" t="s">
        <v>1060</v>
      </c>
      <c r="L738" s="5"/>
    </row>
    <row r="739" spans="1:12">
      <c r="A739" t="s">
        <v>414</v>
      </c>
      <c r="B739" s="2">
        <v>45755</v>
      </c>
      <c r="C739" t="s">
        <v>1027</v>
      </c>
      <c r="D739" t="s">
        <v>1012</v>
      </c>
      <c r="E739" t="s">
        <v>1043</v>
      </c>
      <c r="F739" t="s">
        <v>1021</v>
      </c>
      <c r="G739">
        <v>1</v>
      </c>
      <c r="H739" s="4">
        <v>6000</v>
      </c>
      <c r="I739" s="4">
        <v>1800</v>
      </c>
      <c r="J739" s="4">
        <v>6000</v>
      </c>
      <c r="K739" t="s">
        <v>1058</v>
      </c>
      <c r="L739" s="5"/>
    </row>
    <row r="740" spans="1:12">
      <c r="A740" t="s">
        <v>486</v>
      </c>
      <c r="B740" s="2">
        <v>45755</v>
      </c>
      <c r="C740" t="s">
        <v>1025</v>
      </c>
      <c r="D740" t="s">
        <v>1013</v>
      </c>
      <c r="E740" t="s">
        <v>1041</v>
      </c>
      <c r="F740" t="s">
        <v>1061</v>
      </c>
      <c r="G740">
        <v>1</v>
      </c>
      <c r="H740" s="4">
        <v>5000</v>
      </c>
      <c r="I740" s="4">
        <v>1500</v>
      </c>
      <c r="J740" s="4">
        <v>5000</v>
      </c>
      <c r="K740" t="s">
        <v>1060</v>
      </c>
      <c r="L740" s="5"/>
    </row>
    <row r="741" spans="1:12">
      <c r="A741" t="s">
        <v>739</v>
      </c>
      <c r="B741" s="2">
        <v>45754</v>
      </c>
      <c r="C741" t="s">
        <v>1026</v>
      </c>
      <c r="D741" t="s">
        <v>1013</v>
      </c>
      <c r="E741" t="s">
        <v>1042</v>
      </c>
      <c r="F741" t="s">
        <v>1015</v>
      </c>
      <c r="G741">
        <v>1</v>
      </c>
      <c r="H741" s="4">
        <v>4000</v>
      </c>
      <c r="I741" s="4">
        <v>1000</v>
      </c>
      <c r="J741" s="4">
        <v>4000</v>
      </c>
      <c r="K741" t="s">
        <v>1058</v>
      </c>
      <c r="L741" s="5"/>
    </row>
    <row r="742" spans="1:12">
      <c r="A742" t="s">
        <v>759</v>
      </c>
      <c r="B742" s="2">
        <v>45754</v>
      </c>
      <c r="C742" t="s">
        <v>1027</v>
      </c>
      <c r="D742" t="s">
        <v>1011</v>
      </c>
      <c r="E742" t="s">
        <v>1042</v>
      </c>
      <c r="F742" t="s">
        <v>1015</v>
      </c>
      <c r="G742">
        <v>1</v>
      </c>
      <c r="H742" s="4">
        <v>4000</v>
      </c>
      <c r="I742" s="4">
        <v>1000</v>
      </c>
      <c r="J742" s="4">
        <v>4000</v>
      </c>
      <c r="K742" t="s">
        <v>1059</v>
      </c>
      <c r="L742" s="5"/>
    </row>
    <row r="743" spans="1:12">
      <c r="A743" t="s">
        <v>784</v>
      </c>
      <c r="B743" s="2">
        <v>45754</v>
      </c>
      <c r="C743" t="s">
        <v>1027</v>
      </c>
      <c r="D743" t="s">
        <v>1012</v>
      </c>
      <c r="E743" t="s">
        <v>1043</v>
      </c>
      <c r="F743" t="s">
        <v>1023</v>
      </c>
      <c r="G743">
        <v>1</v>
      </c>
      <c r="H743" s="4">
        <v>3000</v>
      </c>
      <c r="I743" s="4">
        <v>700</v>
      </c>
      <c r="J743" s="4">
        <v>3000</v>
      </c>
      <c r="K743" t="s">
        <v>1059</v>
      </c>
      <c r="L743" s="5"/>
    </row>
    <row r="744" spans="1:12">
      <c r="A744" t="s">
        <v>938</v>
      </c>
      <c r="B744" s="2">
        <v>45754</v>
      </c>
      <c r="C744" t="s">
        <v>1027</v>
      </c>
      <c r="D744" t="s">
        <v>1011</v>
      </c>
      <c r="E744" t="s">
        <v>1044</v>
      </c>
      <c r="F744" t="s">
        <v>1020</v>
      </c>
      <c r="G744">
        <v>1</v>
      </c>
      <c r="H744" s="4">
        <v>7500</v>
      </c>
      <c r="I744" s="4">
        <v>2200</v>
      </c>
      <c r="J744" s="4">
        <v>7500</v>
      </c>
      <c r="K744" t="s">
        <v>1060</v>
      </c>
      <c r="L744" s="5"/>
    </row>
    <row r="745" spans="1:12">
      <c r="A745" t="s">
        <v>434</v>
      </c>
      <c r="B745" s="2">
        <v>45753</v>
      </c>
      <c r="C745" t="s">
        <v>1025</v>
      </c>
      <c r="D745" t="s">
        <v>1012</v>
      </c>
      <c r="E745" t="s">
        <v>1044</v>
      </c>
      <c r="F745" t="s">
        <v>1020</v>
      </c>
      <c r="G745">
        <v>2</v>
      </c>
      <c r="H745" s="4">
        <v>7500</v>
      </c>
      <c r="I745" s="4">
        <v>4400</v>
      </c>
      <c r="J745" s="4">
        <v>15000</v>
      </c>
      <c r="K745" t="s">
        <v>1059</v>
      </c>
      <c r="L745" s="5"/>
    </row>
    <row r="746" spans="1:12">
      <c r="A746" t="s">
        <v>984</v>
      </c>
      <c r="B746" s="2">
        <v>45753</v>
      </c>
      <c r="C746" t="s">
        <v>1025</v>
      </c>
      <c r="D746" t="s">
        <v>1012</v>
      </c>
      <c r="E746" t="s">
        <v>1043</v>
      </c>
      <c r="F746" t="s">
        <v>1021</v>
      </c>
      <c r="G746">
        <v>1</v>
      </c>
      <c r="H746" s="4">
        <v>6000</v>
      </c>
      <c r="I746" s="4">
        <v>1800</v>
      </c>
      <c r="J746" s="4">
        <v>6000</v>
      </c>
      <c r="K746" t="s">
        <v>1059</v>
      </c>
      <c r="L746" s="5"/>
    </row>
    <row r="747" spans="1:12">
      <c r="A747" t="s">
        <v>441</v>
      </c>
      <c r="B747" s="2">
        <v>45752</v>
      </c>
      <c r="C747" t="s">
        <v>1027</v>
      </c>
      <c r="D747" t="s">
        <v>1012</v>
      </c>
      <c r="E747" t="s">
        <v>1044</v>
      </c>
      <c r="F747" t="s">
        <v>1020</v>
      </c>
      <c r="G747">
        <v>1</v>
      </c>
      <c r="H747" s="4">
        <v>7500</v>
      </c>
      <c r="I747" s="4">
        <v>2200</v>
      </c>
      <c r="J747" s="4">
        <v>7500</v>
      </c>
      <c r="K747" t="s">
        <v>1058</v>
      </c>
      <c r="L747" s="5"/>
    </row>
    <row r="748" spans="1:12">
      <c r="A748" t="s">
        <v>478</v>
      </c>
      <c r="B748" s="2">
        <v>45752</v>
      </c>
      <c r="C748" t="s">
        <v>1025</v>
      </c>
      <c r="D748" t="s">
        <v>1012</v>
      </c>
      <c r="E748" t="s">
        <v>1044</v>
      </c>
      <c r="F748" t="s">
        <v>1063</v>
      </c>
      <c r="G748">
        <v>2</v>
      </c>
      <c r="H748" s="4">
        <v>7000</v>
      </c>
      <c r="I748" s="4">
        <v>4000</v>
      </c>
      <c r="J748" s="4">
        <v>14000</v>
      </c>
      <c r="K748" t="s">
        <v>1059</v>
      </c>
      <c r="L748" s="5"/>
    </row>
    <row r="749" spans="1:12">
      <c r="A749" t="s">
        <v>498</v>
      </c>
      <c r="B749" s="2">
        <v>45752</v>
      </c>
      <c r="C749" t="s">
        <v>1025</v>
      </c>
      <c r="D749" t="s">
        <v>1011</v>
      </c>
      <c r="E749" t="s">
        <v>1041</v>
      </c>
      <c r="F749" t="s">
        <v>1016</v>
      </c>
      <c r="G749">
        <v>2</v>
      </c>
      <c r="H749" s="4">
        <v>3000</v>
      </c>
      <c r="I749" s="4">
        <v>1600</v>
      </c>
      <c r="J749" s="4">
        <v>6000</v>
      </c>
      <c r="K749" t="s">
        <v>1059</v>
      </c>
      <c r="L749" s="5"/>
    </row>
    <row r="750" spans="1:12">
      <c r="A750" t="s">
        <v>718</v>
      </c>
      <c r="B750" s="2">
        <v>45752</v>
      </c>
      <c r="C750" t="s">
        <v>1026</v>
      </c>
      <c r="D750" t="s">
        <v>1012</v>
      </c>
      <c r="E750" t="s">
        <v>1041</v>
      </c>
      <c r="F750" t="s">
        <v>1017</v>
      </c>
      <c r="G750">
        <v>2</v>
      </c>
      <c r="H750" s="4">
        <v>2500</v>
      </c>
      <c r="I750" s="4">
        <v>1400</v>
      </c>
      <c r="J750" s="4">
        <v>5000</v>
      </c>
      <c r="K750" t="s">
        <v>1058</v>
      </c>
      <c r="L750" s="5"/>
    </row>
    <row r="751" spans="1:12">
      <c r="A751" t="s">
        <v>888</v>
      </c>
      <c r="B751" s="2">
        <v>45752</v>
      </c>
      <c r="C751" t="s">
        <v>1027</v>
      </c>
      <c r="D751" t="s">
        <v>1011</v>
      </c>
      <c r="E751" t="s">
        <v>1041</v>
      </c>
      <c r="F751" t="s">
        <v>1016</v>
      </c>
      <c r="G751">
        <v>1</v>
      </c>
      <c r="H751" s="4">
        <v>3000</v>
      </c>
      <c r="I751" s="4">
        <v>800</v>
      </c>
      <c r="J751" s="4">
        <v>3000</v>
      </c>
      <c r="K751" t="s">
        <v>1058</v>
      </c>
      <c r="L751" s="5"/>
    </row>
    <row r="752" spans="1:12">
      <c r="A752" t="s">
        <v>978</v>
      </c>
      <c r="B752" s="2">
        <v>45751</v>
      </c>
      <c r="C752" t="s">
        <v>1025</v>
      </c>
      <c r="D752" t="s">
        <v>1012</v>
      </c>
      <c r="E752" t="s">
        <v>1044</v>
      </c>
      <c r="F752" t="s">
        <v>1063</v>
      </c>
      <c r="G752">
        <v>2</v>
      </c>
      <c r="H752" s="4">
        <v>7000</v>
      </c>
      <c r="I752" s="4">
        <v>4000</v>
      </c>
      <c r="J752" s="4">
        <v>14000</v>
      </c>
      <c r="K752" t="s">
        <v>1058</v>
      </c>
      <c r="L752" s="5"/>
    </row>
    <row r="753" spans="1:12">
      <c r="A753" t="s">
        <v>270</v>
      </c>
      <c r="B753" s="2">
        <v>45750</v>
      </c>
      <c r="C753" t="s">
        <v>1027</v>
      </c>
      <c r="D753" t="s">
        <v>1011</v>
      </c>
      <c r="E753" t="s">
        <v>1044</v>
      </c>
      <c r="F753" t="s">
        <v>1062</v>
      </c>
      <c r="G753">
        <v>1</v>
      </c>
      <c r="H753" s="4">
        <v>8000</v>
      </c>
      <c r="I753" s="4">
        <v>2500</v>
      </c>
      <c r="J753" s="4">
        <v>8000</v>
      </c>
      <c r="K753" t="s">
        <v>1060</v>
      </c>
      <c r="L753" s="5"/>
    </row>
    <row r="754" spans="1:12">
      <c r="A754" t="s">
        <v>679</v>
      </c>
      <c r="B754" s="2">
        <v>45750</v>
      </c>
      <c r="C754" t="s">
        <v>1027</v>
      </c>
      <c r="D754" t="s">
        <v>1012</v>
      </c>
      <c r="E754" t="s">
        <v>1044</v>
      </c>
      <c r="F754" t="s">
        <v>1020</v>
      </c>
      <c r="G754">
        <v>1</v>
      </c>
      <c r="H754" s="4">
        <v>7500</v>
      </c>
      <c r="I754" s="4">
        <v>2200</v>
      </c>
      <c r="J754" s="4">
        <v>7500</v>
      </c>
      <c r="K754" t="s">
        <v>1060</v>
      </c>
      <c r="L754" s="5"/>
    </row>
    <row r="755" spans="1:12">
      <c r="A755" t="s">
        <v>810</v>
      </c>
      <c r="B755" s="2">
        <v>45750</v>
      </c>
      <c r="C755" t="s">
        <v>1025</v>
      </c>
      <c r="D755" t="s">
        <v>1012</v>
      </c>
      <c r="E755" t="s">
        <v>1043</v>
      </c>
      <c r="F755" t="s">
        <v>1023</v>
      </c>
      <c r="G755">
        <v>2</v>
      </c>
      <c r="H755" s="4">
        <v>3000</v>
      </c>
      <c r="I755" s="4">
        <v>1400</v>
      </c>
      <c r="J755" s="4">
        <v>6000</v>
      </c>
      <c r="K755" t="s">
        <v>1058</v>
      </c>
      <c r="L755" s="5"/>
    </row>
    <row r="756" spans="1:12">
      <c r="A756" t="s">
        <v>889</v>
      </c>
      <c r="B756" s="2">
        <v>45750</v>
      </c>
      <c r="C756" t="s">
        <v>1025</v>
      </c>
      <c r="D756" t="s">
        <v>1011</v>
      </c>
      <c r="E756" t="s">
        <v>1044</v>
      </c>
      <c r="F756" t="s">
        <v>1014</v>
      </c>
      <c r="G756">
        <v>1</v>
      </c>
      <c r="H756" s="4">
        <v>2500</v>
      </c>
      <c r="I756" s="4">
        <v>500</v>
      </c>
      <c r="J756" s="4">
        <v>2500</v>
      </c>
      <c r="K756" t="s">
        <v>1059</v>
      </c>
      <c r="L756" s="5"/>
    </row>
    <row r="757" spans="1:12">
      <c r="A757" t="s">
        <v>90</v>
      </c>
      <c r="B757" s="2">
        <v>45749</v>
      </c>
      <c r="C757" t="s">
        <v>1025</v>
      </c>
      <c r="D757" t="s">
        <v>1012</v>
      </c>
      <c r="E757" t="s">
        <v>1041</v>
      </c>
      <c r="F757" t="s">
        <v>1017</v>
      </c>
      <c r="G757">
        <v>1</v>
      </c>
      <c r="H757" s="4">
        <v>2500</v>
      </c>
      <c r="I757" s="4">
        <v>700</v>
      </c>
      <c r="J757" s="4">
        <v>2500</v>
      </c>
      <c r="K757" t="s">
        <v>1059</v>
      </c>
      <c r="L757" s="5"/>
    </row>
    <row r="758" spans="1:12">
      <c r="A758" t="s">
        <v>514</v>
      </c>
      <c r="B758" s="2">
        <v>45749</v>
      </c>
      <c r="C758" t="s">
        <v>1026</v>
      </c>
      <c r="D758" t="s">
        <v>1013</v>
      </c>
      <c r="E758" t="s">
        <v>1044</v>
      </c>
      <c r="F758" t="s">
        <v>1063</v>
      </c>
      <c r="G758">
        <v>1</v>
      </c>
      <c r="H758" s="4">
        <v>7000</v>
      </c>
      <c r="I758" s="4">
        <v>2000</v>
      </c>
      <c r="J758" s="4">
        <v>7000</v>
      </c>
      <c r="K758" t="s">
        <v>1059</v>
      </c>
      <c r="L758" s="5"/>
    </row>
    <row r="759" spans="1:12">
      <c r="A759" t="s">
        <v>640</v>
      </c>
      <c r="B759" s="2">
        <v>45749</v>
      </c>
      <c r="C759" t="s">
        <v>1027</v>
      </c>
      <c r="D759" t="s">
        <v>1011</v>
      </c>
      <c r="E759" t="s">
        <v>1044</v>
      </c>
      <c r="F759" t="s">
        <v>1020</v>
      </c>
      <c r="G759">
        <v>1</v>
      </c>
      <c r="H759" s="4">
        <v>7500</v>
      </c>
      <c r="I759" s="4">
        <v>2200</v>
      </c>
      <c r="J759" s="4">
        <v>7500</v>
      </c>
      <c r="K759" t="s">
        <v>1060</v>
      </c>
      <c r="L759" s="5"/>
    </row>
    <row r="760" spans="1:12">
      <c r="A760" t="s">
        <v>643</v>
      </c>
      <c r="B760" s="2">
        <v>45749</v>
      </c>
      <c r="C760" t="s">
        <v>1027</v>
      </c>
      <c r="D760" t="s">
        <v>1011</v>
      </c>
      <c r="E760" t="s">
        <v>1041</v>
      </c>
      <c r="F760" t="s">
        <v>1017</v>
      </c>
      <c r="G760">
        <v>1</v>
      </c>
      <c r="H760" s="4">
        <v>2500</v>
      </c>
      <c r="I760" s="4">
        <v>700</v>
      </c>
      <c r="J760" s="4">
        <v>2500</v>
      </c>
      <c r="K760" t="s">
        <v>1059</v>
      </c>
      <c r="L760" s="5"/>
    </row>
    <row r="761" spans="1:12">
      <c r="A761" t="s">
        <v>944</v>
      </c>
      <c r="B761" s="2">
        <v>45749</v>
      </c>
      <c r="C761" t="s">
        <v>1026</v>
      </c>
      <c r="D761" t="s">
        <v>1011</v>
      </c>
      <c r="E761" t="s">
        <v>1043</v>
      </c>
      <c r="F761" t="s">
        <v>1018</v>
      </c>
      <c r="G761">
        <v>2</v>
      </c>
      <c r="H761" s="4">
        <v>2500</v>
      </c>
      <c r="I761" s="4">
        <v>1200</v>
      </c>
      <c r="J761" s="4">
        <v>5000</v>
      </c>
      <c r="K761" t="s">
        <v>1060</v>
      </c>
      <c r="L761" s="5"/>
    </row>
    <row r="762" spans="1:12">
      <c r="A762" t="s">
        <v>433</v>
      </c>
      <c r="B762" s="2">
        <v>45747</v>
      </c>
      <c r="C762" t="s">
        <v>1026</v>
      </c>
      <c r="D762" t="s">
        <v>1013</v>
      </c>
      <c r="E762" t="s">
        <v>1042</v>
      </c>
      <c r="F762" t="s">
        <v>1022</v>
      </c>
      <c r="G762">
        <v>1</v>
      </c>
      <c r="H762" s="4">
        <v>5000</v>
      </c>
      <c r="I762" s="4">
        <v>1500</v>
      </c>
      <c r="J762" s="4">
        <v>5000</v>
      </c>
      <c r="K762" t="s">
        <v>1059</v>
      </c>
      <c r="L762" s="5"/>
    </row>
    <row r="763" spans="1:12">
      <c r="A763" t="s">
        <v>694</v>
      </c>
      <c r="B763" s="2">
        <v>45747</v>
      </c>
      <c r="C763" t="s">
        <v>1025</v>
      </c>
      <c r="D763" t="s">
        <v>1011</v>
      </c>
      <c r="E763" t="s">
        <v>1043</v>
      </c>
      <c r="F763" t="s">
        <v>1023</v>
      </c>
      <c r="G763">
        <v>1</v>
      </c>
      <c r="H763" s="4">
        <v>3000</v>
      </c>
      <c r="I763" s="4">
        <v>700</v>
      </c>
      <c r="J763" s="4">
        <v>3000</v>
      </c>
      <c r="K763" t="s">
        <v>1060</v>
      </c>
      <c r="L763" s="5"/>
    </row>
    <row r="764" spans="1:12">
      <c r="A764" t="s">
        <v>900</v>
      </c>
      <c r="B764" s="2">
        <v>45747</v>
      </c>
      <c r="C764" t="s">
        <v>1025</v>
      </c>
      <c r="D764" t="s">
        <v>1011</v>
      </c>
      <c r="E764" t="s">
        <v>1043</v>
      </c>
      <c r="F764" t="s">
        <v>1023</v>
      </c>
      <c r="G764">
        <v>1</v>
      </c>
      <c r="H764" s="4">
        <v>3000</v>
      </c>
      <c r="I764" s="4">
        <v>700</v>
      </c>
      <c r="J764" s="4">
        <v>3000</v>
      </c>
      <c r="K764" t="s">
        <v>1059</v>
      </c>
      <c r="L764" s="5"/>
    </row>
    <row r="765" spans="1:12">
      <c r="A765" t="s">
        <v>856</v>
      </c>
      <c r="B765" s="2">
        <v>45746</v>
      </c>
      <c r="C765" t="s">
        <v>1025</v>
      </c>
      <c r="D765" t="s">
        <v>1011</v>
      </c>
      <c r="E765" t="s">
        <v>1041</v>
      </c>
      <c r="F765" t="s">
        <v>1017</v>
      </c>
      <c r="G765">
        <v>1</v>
      </c>
      <c r="H765" s="4">
        <v>2500</v>
      </c>
      <c r="I765" s="4">
        <v>700</v>
      </c>
      <c r="J765" s="4">
        <v>2500</v>
      </c>
      <c r="K765" t="s">
        <v>1059</v>
      </c>
      <c r="L765" s="5"/>
    </row>
    <row r="766" spans="1:12">
      <c r="A766" t="s">
        <v>211</v>
      </c>
      <c r="B766" s="2">
        <v>45745</v>
      </c>
      <c r="C766" t="s">
        <v>1027</v>
      </c>
      <c r="D766" t="s">
        <v>1013</v>
      </c>
      <c r="E766" t="s">
        <v>1043</v>
      </c>
      <c r="F766" t="s">
        <v>1021</v>
      </c>
      <c r="G766">
        <v>1</v>
      </c>
      <c r="H766" s="4">
        <v>6000</v>
      </c>
      <c r="I766" s="4">
        <v>1800</v>
      </c>
      <c r="J766" s="4">
        <v>6000</v>
      </c>
      <c r="K766" t="s">
        <v>1060</v>
      </c>
      <c r="L766" s="5"/>
    </row>
    <row r="767" spans="1:12">
      <c r="A767" t="s">
        <v>102</v>
      </c>
      <c r="B767" s="2">
        <v>45744</v>
      </c>
      <c r="C767" t="s">
        <v>1025</v>
      </c>
      <c r="D767" t="s">
        <v>1013</v>
      </c>
      <c r="E767" t="s">
        <v>1043</v>
      </c>
      <c r="F767" t="s">
        <v>1018</v>
      </c>
      <c r="G767">
        <v>2</v>
      </c>
      <c r="H767" s="4">
        <v>2500</v>
      </c>
      <c r="I767" s="4">
        <v>1200</v>
      </c>
      <c r="J767" s="4">
        <v>5000</v>
      </c>
      <c r="K767" t="s">
        <v>1058</v>
      </c>
      <c r="L767" s="5"/>
    </row>
    <row r="768" spans="1:12">
      <c r="A768" t="s">
        <v>497</v>
      </c>
      <c r="B768" s="2">
        <v>45744</v>
      </c>
      <c r="C768" t="s">
        <v>1025</v>
      </c>
      <c r="D768" t="s">
        <v>1012</v>
      </c>
      <c r="E768" t="s">
        <v>1043</v>
      </c>
      <c r="F768" t="s">
        <v>1023</v>
      </c>
      <c r="G768">
        <v>2</v>
      </c>
      <c r="H768" s="4">
        <v>3000</v>
      </c>
      <c r="I768" s="4">
        <v>1400</v>
      </c>
      <c r="J768" s="4">
        <v>6000</v>
      </c>
      <c r="K768" t="s">
        <v>1059</v>
      </c>
      <c r="L768" s="5"/>
    </row>
    <row r="769" spans="1:12">
      <c r="A769" t="s">
        <v>579</v>
      </c>
      <c r="B769" s="2">
        <v>45744</v>
      </c>
      <c r="C769" t="s">
        <v>1026</v>
      </c>
      <c r="D769" t="s">
        <v>1011</v>
      </c>
      <c r="E769" t="s">
        <v>1043</v>
      </c>
      <c r="F769" t="s">
        <v>1018</v>
      </c>
      <c r="G769">
        <v>1</v>
      </c>
      <c r="H769" s="4">
        <v>2500</v>
      </c>
      <c r="I769" s="4">
        <v>600</v>
      </c>
      <c r="J769" s="4">
        <v>2500</v>
      </c>
      <c r="K769" t="s">
        <v>1060</v>
      </c>
      <c r="L769" s="5"/>
    </row>
    <row r="770" spans="1:12">
      <c r="A770" t="s">
        <v>56</v>
      </c>
      <c r="B770" s="2">
        <v>45743</v>
      </c>
      <c r="C770" t="s">
        <v>1026</v>
      </c>
      <c r="D770" t="s">
        <v>1012</v>
      </c>
      <c r="E770" t="s">
        <v>1041</v>
      </c>
      <c r="F770" t="s">
        <v>1017</v>
      </c>
      <c r="G770">
        <v>1</v>
      </c>
      <c r="H770" s="4">
        <v>2500</v>
      </c>
      <c r="I770" s="4">
        <v>700</v>
      </c>
      <c r="J770" s="4">
        <v>2500</v>
      </c>
      <c r="K770" t="s">
        <v>1058</v>
      </c>
      <c r="L770" s="5"/>
    </row>
    <row r="771" spans="1:12">
      <c r="A771" t="s">
        <v>633</v>
      </c>
      <c r="B771" s="2">
        <v>45743</v>
      </c>
      <c r="C771" t="s">
        <v>1026</v>
      </c>
      <c r="D771" t="s">
        <v>1013</v>
      </c>
      <c r="E771" t="s">
        <v>1043</v>
      </c>
      <c r="F771" t="s">
        <v>1018</v>
      </c>
      <c r="G771">
        <v>1</v>
      </c>
      <c r="H771" s="4">
        <v>2500</v>
      </c>
      <c r="I771" s="4">
        <v>600</v>
      </c>
      <c r="J771" s="4">
        <v>2500</v>
      </c>
      <c r="K771" t="s">
        <v>1060</v>
      </c>
      <c r="L771" s="5"/>
    </row>
    <row r="772" spans="1:12">
      <c r="A772" t="s">
        <v>928</v>
      </c>
      <c r="B772" s="2">
        <v>45743</v>
      </c>
      <c r="C772" t="s">
        <v>1025</v>
      </c>
      <c r="D772" t="s">
        <v>1011</v>
      </c>
      <c r="E772" t="s">
        <v>1043</v>
      </c>
      <c r="F772" t="s">
        <v>1018</v>
      </c>
      <c r="G772">
        <v>1</v>
      </c>
      <c r="H772" s="4">
        <v>2500</v>
      </c>
      <c r="I772" s="4">
        <v>600</v>
      </c>
      <c r="J772" s="4">
        <v>2500</v>
      </c>
      <c r="K772" t="s">
        <v>1058</v>
      </c>
      <c r="L772" s="5"/>
    </row>
    <row r="773" spans="1:12">
      <c r="A773" t="s">
        <v>122</v>
      </c>
      <c r="B773" s="2">
        <v>45742</v>
      </c>
      <c r="C773" t="s">
        <v>1026</v>
      </c>
      <c r="D773" t="s">
        <v>1013</v>
      </c>
      <c r="E773" t="s">
        <v>1042</v>
      </c>
      <c r="F773" t="s">
        <v>1019</v>
      </c>
      <c r="G773">
        <v>2</v>
      </c>
      <c r="H773" s="4">
        <v>3000</v>
      </c>
      <c r="I773" s="4">
        <v>1600</v>
      </c>
      <c r="J773" s="4">
        <v>6000</v>
      </c>
      <c r="K773" t="s">
        <v>1060</v>
      </c>
      <c r="L773" s="5"/>
    </row>
    <row r="774" spans="1:12">
      <c r="A774" t="s">
        <v>226</v>
      </c>
      <c r="B774" s="2">
        <v>45742</v>
      </c>
      <c r="C774" t="s">
        <v>1026</v>
      </c>
      <c r="D774" t="s">
        <v>1012</v>
      </c>
      <c r="E774" t="s">
        <v>1043</v>
      </c>
      <c r="F774" t="s">
        <v>1018</v>
      </c>
      <c r="G774">
        <v>1</v>
      </c>
      <c r="H774" s="4">
        <v>2500</v>
      </c>
      <c r="I774" s="4">
        <v>600</v>
      </c>
      <c r="J774" s="4">
        <v>2500</v>
      </c>
      <c r="K774" t="s">
        <v>1058</v>
      </c>
      <c r="L774" s="5"/>
    </row>
    <row r="775" spans="1:12">
      <c r="A775" t="s">
        <v>453</v>
      </c>
      <c r="B775" s="2">
        <v>45742</v>
      </c>
      <c r="C775" t="s">
        <v>1026</v>
      </c>
      <c r="D775" t="s">
        <v>1011</v>
      </c>
      <c r="E775" t="s">
        <v>1043</v>
      </c>
      <c r="F775" t="s">
        <v>1021</v>
      </c>
      <c r="G775">
        <v>1</v>
      </c>
      <c r="H775" s="4">
        <v>6000</v>
      </c>
      <c r="I775" s="4">
        <v>1800</v>
      </c>
      <c r="J775" s="4">
        <v>6000</v>
      </c>
      <c r="K775" t="s">
        <v>1058</v>
      </c>
      <c r="L775" s="5"/>
    </row>
    <row r="776" spans="1:12">
      <c r="A776" t="s">
        <v>818</v>
      </c>
      <c r="B776" s="2">
        <v>45742</v>
      </c>
      <c r="C776" t="s">
        <v>1027</v>
      </c>
      <c r="D776" t="s">
        <v>1012</v>
      </c>
      <c r="E776" t="s">
        <v>1043</v>
      </c>
      <c r="F776" t="s">
        <v>1023</v>
      </c>
      <c r="G776">
        <v>2</v>
      </c>
      <c r="H776" s="4">
        <v>3000</v>
      </c>
      <c r="I776" s="4">
        <v>1400</v>
      </c>
      <c r="J776" s="4">
        <v>6000</v>
      </c>
      <c r="K776" t="s">
        <v>1058</v>
      </c>
      <c r="L776" s="5"/>
    </row>
    <row r="777" spans="1:12">
      <c r="A777" t="s">
        <v>20</v>
      </c>
      <c r="B777" s="2">
        <v>45741</v>
      </c>
      <c r="C777" t="s">
        <v>1026</v>
      </c>
      <c r="D777" t="s">
        <v>1012</v>
      </c>
      <c r="E777" t="s">
        <v>1042</v>
      </c>
      <c r="F777" t="s">
        <v>1015</v>
      </c>
      <c r="G777">
        <v>1</v>
      </c>
      <c r="H777" s="4">
        <v>4000</v>
      </c>
      <c r="I777" s="4">
        <v>1000</v>
      </c>
      <c r="J777" s="4">
        <v>4000</v>
      </c>
      <c r="K777" t="s">
        <v>1059</v>
      </c>
      <c r="L777" s="5"/>
    </row>
    <row r="778" spans="1:12">
      <c r="A778" t="s">
        <v>132</v>
      </c>
      <c r="B778" s="2">
        <v>45741</v>
      </c>
      <c r="C778" t="s">
        <v>1026</v>
      </c>
      <c r="D778" t="s">
        <v>1013</v>
      </c>
      <c r="E778" t="s">
        <v>1041</v>
      </c>
      <c r="F778" t="s">
        <v>1016</v>
      </c>
      <c r="G778">
        <v>1</v>
      </c>
      <c r="H778" s="4">
        <v>3000</v>
      </c>
      <c r="I778" s="4">
        <v>800</v>
      </c>
      <c r="J778" s="4">
        <v>3000</v>
      </c>
      <c r="K778" t="s">
        <v>1060</v>
      </c>
      <c r="L778" s="5"/>
    </row>
    <row r="779" spans="1:12">
      <c r="A779" t="s">
        <v>632</v>
      </c>
      <c r="B779" s="2">
        <v>45741</v>
      </c>
      <c r="C779" t="s">
        <v>1026</v>
      </c>
      <c r="D779" t="s">
        <v>1012</v>
      </c>
      <c r="E779" t="s">
        <v>1042</v>
      </c>
      <c r="F779" t="s">
        <v>1022</v>
      </c>
      <c r="G779">
        <v>1</v>
      </c>
      <c r="H779" s="4">
        <v>5000</v>
      </c>
      <c r="I779" s="4">
        <v>1500</v>
      </c>
      <c r="J779" s="4">
        <v>5000</v>
      </c>
      <c r="K779" t="s">
        <v>1060</v>
      </c>
      <c r="L779" s="5"/>
    </row>
    <row r="780" spans="1:12">
      <c r="A780" t="s">
        <v>37</v>
      </c>
      <c r="B780" s="2">
        <v>45740</v>
      </c>
      <c r="C780" t="s">
        <v>1025</v>
      </c>
      <c r="D780" t="s">
        <v>1011</v>
      </c>
      <c r="E780" t="s">
        <v>1041</v>
      </c>
      <c r="F780" t="s">
        <v>1016</v>
      </c>
      <c r="G780">
        <v>1</v>
      </c>
      <c r="H780" s="4">
        <v>3000</v>
      </c>
      <c r="I780" s="4">
        <v>800</v>
      </c>
      <c r="J780" s="4">
        <v>3000</v>
      </c>
      <c r="K780" t="s">
        <v>1059</v>
      </c>
      <c r="L780" s="5"/>
    </row>
    <row r="781" spans="1:12">
      <c r="A781" t="s">
        <v>77</v>
      </c>
      <c r="B781" s="2">
        <v>45740</v>
      </c>
      <c r="C781" t="s">
        <v>1025</v>
      </c>
      <c r="D781" t="s">
        <v>1012</v>
      </c>
      <c r="E781" t="s">
        <v>1042</v>
      </c>
      <c r="F781" t="s">
        <v>1015</v>
      </c>
      <c r="G781">
        <v>1</v>
      </c>
      <c r="H781" s="4">
        <v>4000</v>
      </c>
      <c r="I781" s="4">
        <v>1000</v>
      </c>
      <c r="J781" s="4">
        <v>4000</v>
      </c>
      <c r="K781" t="s">
        <v>1060</v>
      </c>
      <c r="L781" s="5"/>
    </row>
    <row r="782" spans="1:12">
      <c r="A782" t="s">
        <v>181</v>
      </c>
      <c r="B782" s="2">
        <v>45740</v>
      </c>
      <c r="C782" t="s">
        <v>1026</v>
      </c>
      <c r="D782" t="s">
        <v>1012</v>
      </c>
      <c r="E782" t="s">
        <v>1042</v>
      </c>
      <c r="F782" t="s">
        <v>1015</v>
      </c>
      <c r="G782">
        <v>1</v>
      </c>
      <c r="H782" s="4">
        <v>4000</v>
      </c>
      <c r="I782" s="4">
        <v>1000</v>
      </c>
      <c r="J782" s="4">
        <v>4000</v>
      </c>
      <c r="K782" t="s">
        <v>1060</v>
      </c>
      <c r="L782" s="5"/>
    </row>
    <row r="783" spans="1:12">
      <c r="A783" t="s">
        <v>708</v>
      </c>
      <c r="B783" s="2">
        <v>45740</v>
      </c>
      <c r="C783" t="s">
        <v>1025</v>
      </c>
      <c r="D783" t="s">
        <v>1013</v>
      </c>
      <c r="E783" t="s">
        <v>1041</v>
      </c>
      <c r="F783" t="s">
        <v>1016</v>
      </c>
      <c r="G783">
        <v>2</v>
      </c>
      <c r="H783" s="4">
        <v>3000</v>
      </c>
      <c r="I783" s="4">
        <v>1600</v>
      </c>
      <c r="J783" s="4">
        <v>6000</v>
      </c>
      <c r="K783" t="s">
        <v>1060</v>
      </c>
      <c r="L783" s="5"/>
    </row>
    <row r="784" spans="1:12">
      <c r="A784" t="s">
        <v>797</v>
      </c>
      <c r="B784" s="2">
        <v>45740</v>
      </c>
      <c r="C784" t="s">
        <v>1027</v>
      </c>
      <c r="D784" t="s">
        <v>1011</v>
      </c>
      <c r="E784" t="s">
        <v>1044</v>
      </c>
      <c r="F784" t="s">
        <v>1020</v>
      </c>
      <c r="G784">
        <v>1</v>
      </c>
      <c r="H784" s="4">
        <v>7500</v>
      </c>
      <c r="I784" s="4">
        <v>2200</v>
      </c>
      <c r="J784" s="4">
        <v>7500</v>
      </c>
      <c r="K784" t="s">
        <v>1058</v>
      </c>
      <c r="L784" s="5"/>
    </row>
    <row r="785" spans="1:12">
      <c r="A785" t="s">
        <v>949</v>
      </c>
      <c r="B785" s="2">
        <v>45740</v>
      </c>
      <c r="C785" t="s">
        <v>1026</v>
      </c>
      <c r="D785" t="s">
        <v>1011</v>
      </c>
      <c r="E785" t="s">
        <v>1042</v>
      </c>
      <c r="F785" t="s">
        <v>1022</v>
      </c>
      <c r="G785">
        <v>1</v>
      </c>
      <c r="H785" s="4">
        <v>5000</v>
      </c>
      <c r="I785" s="4">
        <v>1500</v>
      </c>
      <c r="J785" s="4">
        <v>5000</v>
      </c>
      <c r="K785" t="s">
        <v>1059</v>
      </c>
      <c r="L785" s="5"/>
    </row>
    <row r="786" spans="1:12">
      <c r="A786" t="s">
        <v>13</v>
      </c>
      <c r="B786" s="2">
        <v>45739</v>
      </c>
      <c r="C786" t="s">
        <v>1025</v>
      </c>
      <c r="D786" t="s">
        <v>1012</v>
      </c>
      <c r="E786" t="s">
        <v>1042</v>
      </c>
      <c r="F786" t="s">
        <v>1019</v>
      </c>
      <c r="G786">
        <v>1</v>
      </c>
      <c r="H786" s="4">
        <v>3000</v>
      </c>
      <c r="I786" s="4">
        <v>800</v>
      </c>
      <c r="J786" s="4">
        <v>3000</v>
      </c>
      <c r="K786" t="s">
        <v>1058</v>
      </c>
      <c r="L786" s="5"/>
    </row>
    <row r="787" spans="1:12">
      <c r="A787" t="s">
        <v>111</v>
      </c>
      <c r="B787" s="2">
        <v>45739</v>
      </c>
      <c r="C787" t="s">
        <v>1025</v>
      </c>
      <c r="D787" t="s">
        <v>1012</v>
      </c>
      <c r="E787" t="s">
        <v>1044</v>
      </c>
      <c r="F787" t="s">
        <v>1020</v>
      </c>
      <c r="G787">
        <v>2</v>
      </c>
      <c r="H787" s="4">
        <v>7500</v>
      </c>
      <c r="I787" s="4">
        <v>4400</v>
      </c>
      <c r="J787" s="4">
        <v>15000</v>
      </c>
      <c r="K787" t="s">
        <v>1058</v>
      </c>
      <c r="L787" s="5"/>
    </row>
    <row r="788" spans="1:12">
      <c r="A788" t="s">
        <v>681</v>
      </c>
      <c r="B788" s="2">
        <v>45739</v>
      </c>
      <c r="C788" t="s">
        <v>1027</v>
      </c>
      <c r="D788" t="s">
        <v>1013</v>
      </c>
      <c r="E788" t="s">
        <v>1044</v>
      </c>
      <c r="F788" t="s">
        <v>1062</v>
      </c>
      <c r="G788">
        <v>1</v>
      </c>
      <c r="H788" s="4">
        <v>8000</v>
      </c>
      <c r="I788" s="4">
        <v>2500</v>
      </c>
      <c r="J788" s="4">
        <v>8000</v>
      </c>
      <c r="K788" t="s">
        <v>1060</v>
      </c>
      <c r="L788" s="5"/>
    </row>
    <row r="789" spans="1:12">
      <c r="A789" t="s">
        <v>809</v>
      </c>
      <c r="B789" s="2">
        <v>45739</v>
      </c>
      <c r="C789" t="s">
        <v>1027</v>
      </c>
      <c r="D789" t="s">
        <v>1012</v>
      </c>
      <c r="E789" t="s">
        <v>1042</v>
      </c>
      <c r="F789" t="s">
        <v>1022</v>
      </c>
      <c r="G789">
        <v>1</v>
      </c>
      <c r="H789" s="4">
        <v>5000</v>
      </c>
      <c r="I789" s="4">
        <v>1500</v>
      </c>
      <c r="J789" s="4">
        <v>5000</v>
      </c>
      <c r="K789" t="s">
        <v>1060</v>
      </c>
      <c r="L789" s="5"/>
    </row>
    <row r="790" spans="1:12">
      <c r="A790" t="s">
        <v>166</v>
      </c>
      <c r="B790" s="2">
        <v>45738</v>
      </c>
      <c r="C790" t="s">
        <v>1027</v>
      </c>
      <c r="D790" t="s">
        <v>1013</v>
      </c>
      <c r="E790" t="s">
        <v>1042</v>
      </c>
      <c r="F790" t="s">
        <v>1015</v>
      </c>
      <c r="G790">
        <v>1</v>
      </c>
      <c r="H790" s="4">
        <v>4000</v>
      </c>
      <c r="I790" s="4">
        <v>1000</v>
      </c>
      <c r="J790" s="4">
        <v>4000</v>
      </c>
      <c r="K790" t="s">
        <v>1060</v>
      </c>
      <c r="L790" s="5"/>
    </row>
    <row r="791" spans="1:12">
      <c r="A791" t="s">
        <v>600</v>
      </c>
      <c r="B791" s="2">
        <v>45738</v>
      </c>
      <c r="C791" t="s">
        <v>1026</v>
      </c>
      <c r="D791" t="s">
        <v>1012</v>
      </c>
      <c r="E791" t="s">
        <v>1041</v>
      </c>
      <c r="F791" t="s">
        <v>1061</v>
      </c>
      <c r="G791">
        <v>1</v>
      </c>
      <c r="H791" s="4">
        <v>5000</v>
      </c>
      <c r="I791" s="4">
        <v>1500</v>
      </c>
      <c r="J791" s="4">
        <v>5000</v>
      </c>
      <c r="K791" t="s">
        <v>1059</v>
      </c>
      <c r="L791" s="5"/>
    </row>
    <row r="792" spans="1:12">
      <c r="A792" t="s">
        <v>661</v>
      </c>
      <c r="B792" s="2">
        <v>45738</v>
      </c>
      <c r="C792" t="s">
        <v>1025</v>
      </c>
      <c r="D792" t="s">
        <v>1012</v>
      </c>
      <c r="E792" t="s">
        <v>1041</v>
      </c>
      <c r="F792" t="s">
        <v>1017</v>
      </c>
      <c r="G792">
        <v>1</v>
      </c>
      <c r="H792" s="4">
        <v>2500</v>
      </c>
      <c r="I792" s="4">
        <v>700</v>
      </c>
      <c r="J792" s="4">
        <v>2500</v>
      </c>
      <c r="K792" t="s">
        <v>1060</v>
      </c>
      <c r="L792" s="5"/>
    </row>
    <row r="793" spans="1:12">
      <c r="A793" t="s">
        <v>693</v>
      </c>
      <c r="B793" s="2">
        <v>45738</v>
      </c>
      <c r="C793" t="s">
        <v>1025</v>
      </c>
      <c r="D793" t="s">
        <v>1012</v>
      </c>
      <c r="E793" t="s">
        <v>1044</v>
      </c>
      <c r="F793" t="s">
        <v>1062</v>
      </c>
      <c r="G793">
        <v>1</v>
      </c>
      <c r="H793" s="4">
        <v>8000</v>
      </c>
      <c r="I793" s="4">
        <v>2500</v>
      </c>
      <c r="J793" s="4">
        <v>8000</v>
      </c>
      <c r="K793" t="s">
        <v>1060</v>
      </c>
      <c r="L793" s="5"/>
    </row>
    <row r="794" spans="1:12">
      <c r="A794" t="s">
        <v>882</v>
      </c>
      <c r="B794" s="2">
        <v>45738</v>
      </c>
      <c r="C794" t="s">
        <v>1025</v>
      </c>
      <c r="D794" t="s">
        <v>1013</v>
      </c>
      <c r="E794" t="s">
        <v>1041</v>
      </c>
      <c r="F794" t="s">
        <v>1061</v>
      </c>
      <c r="G794">
        <v>2</v>
      </c>
      <c r="H794" s="4">
        <v>5000</v>
      </c>
      <c r="I794" s="4">
        <v>3000</v>
      </c>
      <c r="J794" s="4">
        <v>10000</v>
      </c>
      <c r="K794" t="s">
        <v>1059</v>
      </c>
      <c r="L794" s="5"/>
    </row>
    <row r="795" spans="1:12">
      <c r="A795" t="s">
        <v>59</v>
      </c>
      <c r="B795" s="2">
        <v>45737</v>
      </c>
      <c r="C795" t="s">
        <v>1027</v>
      </c>
      <c r="D795" t="s">
        <v>1012</v>
      </c>
      <c r="E795" t="s">
        <v>1042</v>
      </c>
      <c r="F795" t="s">
        <v>1022</v>
      </c>
      <c r="G795">
        <v>2</v>
      </c>
      <c r="H795" s="4">
        <v>5000</v>
      </c>
      <c r="I795" s="4">
        <v>3000</v>
      </c>
      <c r="J795" s="4">
        <v>10000</v>
      </c>
      <c r="K795" t="s">
        <v>1059</v>
      </c>
      <c r="L795" s="5"/>
    </row>
    <row r="796" spans="1:12">
      <c r="A796" t="s">
        <v>466</v>
      </c>
      <c r="B796" s="2">
        <v>45737</v>
      </c>
      <c r="C796" t="s">
        <v>1026</v>
      </c>
      <c r="D796" t="s">
        <v>1013</v>
      </c>
      <c r="E796" t="s">
        <v>1043</v>
      </c>
      <c r="F796" t="s">
        <v>1023</v>
      </c>
      <c r="G796">
        <v>1</v>
      </c>
      <c r="H796" s="4">
        <v>3000</v>
      </c>
      <c r="I796" s="4">
        <v>700</v>
      </c>
      <c r="J796" s="4">
        <v>3000</v>
      </c>
      <c r="K796" t="s">
        <v>1060</v>
      </c>
      <c r="L796" s="5"/>
    </row>
    <row r="797" spans="1:12">
      <c r="A797" t="s">
        <v>627</v>
      </c>
      <c r="B797" s="2">
        <v>45737</v>
      </c>
      <c r="C797" t="s">
        <v>1025</v>
      </c>
      <c r="D797" t="s">
        <v>1012</v>
      </c>
      <c r="E797" t="s">
        <v>1043</v>
      </c>
      <c r="F797" t="s">
        <v>1018</v>
      </c>
      <c r="G797">
        <v>1</v>
      </c>
      <c r="H797" s="4">
        <v>2500</v>
      </c>
      <c r="I797" s="4">
        <v>600</v>
      </c>
      <c r="J797" s="4">
        <v>2500</v>
      </c>
      <c r="K797" t="s">
        <v>1058</v>
      </c>
      <c r="L797" s="5"/>
    </row>
    <row r="798" spans="1:12">
      <c r="A798" t="s">
        <v>658</v>
      </c>
      <c r="B798" s="2">
        <v>45737</v>
      </c>
      <c r="C798" t="s">
        <v>1027</v>
      </c>
      <c r="D798" t="s">
        <v>1013</v>
      </c>
      <c r="E798" t="s">
        <v>1042</v>
      </c>
      <c r="F798" t="s">
        <v>1019</v>
      </c>
      <c r="G798">
        <v>1</v>
      </c>
      <c r="H798" s="4">
        <v>3000</v>
      </c>
      <c r="I798" s="4">
        <v>800</v>
      </c>
      <c r="J798" s="4">
        <v>3000</v>
      </c>
      <c r="K798" t="s">
        <v>1058</v>
      </c>
      <c r="L798" s="5"/>
    </row>
    <row r="799" spans="1:12">
      <c r="A799" t="s">
        <v>975</v>
      </c>
      <c r="B799" s="2">
        <v>45737</v>
      </c>
      <c r="C799" t="s">
        <v>1027</v>
      </c>
      <c r="D799" t="s">
        <v>1013</v>
      </c>
      <c r="E799" t="s">
        <v>1044</v>
      </c>
      <c r="F799" t="s">
        <v>1014</v>
      </c>
      <c r="G799">
        <v>1</v>
      </c>
      <c r="H799" s="4">
        <v>2500</v>
      </c>
      <c r="I799" s="4">
        <v>500</v>
      </c>
      <c r="J799" s="4">
        <v>2500</v>
      </c>
      <c r="K799" t="s">
        <v>1059</v>
      </c>
      <c r="L799" s="5"/>
    </row>
    <row r="800" spans="1:12">
      <c r="A800" t="s">
        <v>316</v>
      </c>
      <c r="B800" s="2">
        <v>45736</v>
      </c>
      <c r="C800" t="s">
        <v>1027</v>
      </c>
      <c r="D800" t="s">
        <v>1013</v>
      </c>
      <c r="E800" t="s">
        <v>1043</v>
      </c>
      <c r="F800" t="s">
        <v>1021</v>
      </c>
      <c r="G800">
        <v>2</v>
      </c>
      <c r="H800" s="4">
        <v>6000</v>
      </c>
      <c r="I800" s="4">
        <v>3600</v>
      </c>
      <c r="J800" s="4">
        <v>12000</v>
      </c>
      <c r="K800" t="s">
        <v>1060</v>
      </c>
      <c r="L800" s="5"/>
    </row>
    <row r="801" spans="1:12">
      <c r="A801" t="s">
        <v>494</v>
      </c>
      <c r="B801" s="2">
        <v>45736</v>
      </c>
      <c r="C801" t="s">
        <v>1027</v>
      </c>
      <c r="D801" t="s">
        <v>1012</v>
      </c>
      <c r="E801" t="s">
        <v>1044</v>
      </c>
      <c r="F801" t="s">
        <v>1020</v>
      </c>
      <c r="G801">
        <v>1</v>
      </c>
      <c r="H801" s="4">
        <v>7500</v>
      </c>
      <c r="I801" s="4">
        <v>2200</v>
      </c>
      <c r="J801" s="4">
        <v>7500</v>
      </c>
      <c r="K801" t="s">
        <v>1059</v>
      </c>
      <c r="L801" s="5"/>
    </row>
    <row r="802" spans="1:12">
      <c r="A802" t="s">
        <v>115</v>
      </c>
      <c r="B802" s="2">
        <v>45735</v>
      </c>
      <c r="C802" t="s">
        <v>1027</v>
      </c>
      <c r="D802" t="s">
        <v>1012</v>
      </c>
      <c r="E802" t="s">
        <v>1041</v>
      </c>
      <c r="F802" t="s">
        <v>1017</v>
      </c>
      <c r="G802">
        <v>1</v>
      </c>
      <c r="H802" s="4">
        <v>2500</v>
      </c>
      <c r="I802" s="4">
        <v>700</v>
      </c>
      <c r="J802" s="4">
        <v>2500</v>
      </c>
      <c r="K802" t="s">
        <v>1060</v>
      </c>
      <c r="L802" s="5"/>
    </row>
    <row r="803" spans="1:12">
      <c r="A803" t="s">
        <v>161</v>
      </c>
      <c r="B803" s="2">
        <v>45734</v>
      </c>
      <c r="C803" t="s">
        <v>1025</v>
      </c>
      <c r="D803" t="s">
        <v>1012</v>
      </c>
      <c r="E803" t="s">
        <v>1041</v>
      </c>
      <c r="F803" t="s">
        <v>1061</v>
      </c>
      <c r="G803">
        <v>1</v>
      </c>
      <c r="H803" s="4">
        <v>5000</v>
      </c>
      <c r="I803" s="4">
        <v>1500</v>
      </c>
      <c r="J803" s="4">
        <v>5000</v>
      </c>
      <c r="K803" t="s">
        <v>1059</v>
      </c>
      <c r="L803" s="5"/>
    </row>
    <row r="804" spans="1:12">
      <c r="A804" t="s">
        <v>196</v>
      </c>
      <c r="B804" s="2">
        <v>45734</v>
      </c>
      <c r="C804" t="s">
        <v>1026</v>
      </c>
      <c r="D804" t="s">
        <v>1011</v>
      </c>
      <c r="E804" t="s">
        <v>1043</v>
      </c>
      <c r="F804" t="s">
        <v>1021</v>
      </c>
      <c r="G804">
        <v>2</v>
      </c>
      <c r="H804" s="4">
        <v>6000</v>
      </c>
      <c r="I804" s="4">
        <v>3600</v>
      </c>
      <c r="J804" s="4">
        <v>12000</v>
      </c>
      <c r="K804" t="s">
        <v>1058</v>
      </c>
      <c r="L804" s="5"/>
    </row>
    <row r="805" spans="1:12">
      <c r="A805" t="s">
        <v>673</v>
      </c>
      <c r="B805" s="2">
        <v>45734</v>
      </c>
      <c r="C805" t="s">
        <v>1027</v>
      </c>
      <c r="D805" t="s">
        <v>1011</v>
      </c>
      <c r="E805" t="s">
        <v>1044</v>
      </c>
      <c r="F805" t="s">
        <v>1063</v>
      </c>
      <c r="G805">
        <v>2</v>
      </c>
      <c r="H805" s="4">
        <v>7000</v>
      </c>
      <c r="I805" s="4">
        <v>4000</v>
      </c>
      <c r="J805" s="4">
        <v>14000</v>
      </c>
      <c r="K805" t="s">
        <v>1060</v>
      </c>
      <c r="L805" s="5"/>
    </row>
    <row r="806" spans="1:12">
      <c r="A806" t="s">
        <v>104</v>
      </c>
      <c r="B806" s="2">
        <v>45733</v>
      </c>
      <c r="C806" t="s">
        <v>1027</v>
      </c>
      <c r="D806" t="s">
        <v>1013</v>
      </c>
      <c r="E806" t="s">
        <v>1044</v>
      </c>
      <c r="F806" t="s">
        <v>1014</v>
      </c>
      <c r="G806">
        <v>1</v>
      </c>
      <c r="H806" s="4">
        <v>2500</v>
      </c>
      <c r="I806" s="4">
        <v>500</v>
      </c>
      <c r="J806" s="4">
        <v>2500</v>
      </c>
      <c r="K806" t="s">
        <v>1059</v>
      </c>
      <c r="L806" s="5"/>
    </row>
    <row r="807" spans="1:12">
      <c r="A807" t="s">
        <v>413</v>
      </c>
      <c r="B807" s="2">
        <v>45733</v>
      </c>
      <c r="C807" t="s">
        <v>1025</v>
      </c>
      <c r="D807" t="s">
        <v>1013</v>
      </c>
      <c r="E807" t="s">
        <v>1042</v>
      </c>
      <c r="F807" t="s">
        <v>1015</v>
      </c>
      <c r="G807">
        <v>2</v>
      </c>
      <c r="H807" s="4">
        <v>4000</v>
      </c>
      <c r="I807" s="4">
        <v>2000</v>
      </c>
      <c r="J807" s="4">
        <v>8000</v>
      </c>
      <c r="K807" t="s">
        <v>1059</v>
      </c>
      <c r="L807" s="5"/>
    </row>
    <row r="808" spans="1:12">
      <c r="A808" t="s">
        <v>690</v>
      </c>
      <c r="B808" s="2">
        <v>45733</v>
      </c>
      <c r="C808" t="s">
        <v>1025</v>
      </c>
      <c r="D808" t="s">
        <v>1011</v>
      </c>
      <c r="E808" t="s">
        <v>1041</v>
      </c>
      <c r="F808" t="s">
        <v>1061</v>
      </c>
      <c r="G808">
        <v>1</v>
      </c>
      <c r="H808" s="4">
        <v>5000</v>
      </c>
      <c r="I808" s="4">
        <v>1500</v>
      </c>
      <c r="J808" s="4">
        <v>5000</v>
      </c>
      <c r="K808" t="s">
        <v>1059</v>
      </c>
      <c r="L808" s="5"/>
    </row>
    <row r="809" spans="1:12">
      <c r="A809" t="s">
        <v>210</v>
      </c>
      <c r="B809" s="2">
        <v>45732</v>
      </c>
      <c r="C809" t="s">
        <v>1027</v>
      </c>
      <c r="D809" t="s">
        <v>1011</v>
      </c>
      <c r="E809" t="s">
        <v>1044</v>
      </c>
      <c r="F809" t="s">
        <v>1062</v>
      </c>
      <c r="G809">
        <v>2</v>
      </c>
      <c r="H809" s="4">
        <v>8000</v>
      </c>
      <c r="I809" s="4">
        <v>5000</v>
      </c>
      <c r="J809" s="4">
        <v>16000</v>
      </c>
      <c r="K809" t="s">
        <v>1058</v>
      </c>
      <c r="L809" s="5"/>
    </row>
    <row r="810" spans="1:12">
      <c r="A810" t="s">
        <v>950</v>
      </c>
      <c r="B810" s="2">
        <v>45732</v>
      </c>
      <c r="C810" t="s">
        <v>1026</v>
      </c>
      <c r="D810" t="s">
        <v>1011</v>
      </c>
      <c r="E810" t="s">
        <v>1042</v>
      </c>
      <c r="F810" t="s">
        <v>1019</v>
      </c>
      <c r="G810">
        <v>1</v>
      </c>
      <c r="H810" s="4">
        <v>3000</v>
      </c>
      <c r="I810" s="4">
        <v>800</v>
      </c>
      <c r="J810" s="4">
        <v>3000</v>
      </c>
      <c r="K810" t="s">
        <v>1058</v>
      </c>
      <c r="L810" s="5"/>
    </row>
    <row r="811" spans="1:12">
      <c r="A811" t="s">
        <v>335</v>
      </c>
      <c r="B811" s="2">
        <v>45731</v>
      </c>
      <c r="C811" t="s">
        <v>1026</v>
      </c>
      <c r="D811" t="s">
        <v>1012</v>
      </c>
      <c r="E811" t="s">
        <v>1041</v>
      </c>
      <c r="F811" t="s">
        <v>1061</v>
      </c>
      <c r="G811">
        <v>1</v>
      </c>
      <c r="H811" s="4">
        <v>5000</v>
      </c>
      <c r="I811" s="4">
        <v>1500</v>
      </c>
      <c r="J811" s="4">
        <v>5000</v>
      </c>
      <c r="K811" t="s">
        <v>1059</v>
      </c>
      <c r="L811" s="5"/>
    </row>
    <row r="812" spans="1:12">
      <c r="A812" t="s">
        <v>473</v>
      </c>
      <c r="B812" s="2">
        <v>45731</v>
      </c>
      <c r="C812" t="s">
        <v>1025</v>
      </c>
      <c r="D812" t="s">
        <v>1011</v>
      </c>
      <c r="E812" t="s">
        <v>1044</v>
      </c>
      <c r="F812" t="s">
        <v>1014</v>
      </c>
      <c r="G812">
        <v>1</v>
      </c>
      <c r="H812" s="4">
        <v>2500</v>
      </c>
      <c r="I812" s="4">
        <v>500</v>
      </c>
      <c r="J812" s="4">
        <v>2500</v>
      </c>
      <c r="K812" t="s">
        <v>1059</v>
      </c>
      <c r="L812" s="5"/>
    </row>
    <row r="813" spans="1:12">
      <c r="A813" t="s">
        <v>271</v>
      </c>
      <c r="B813" s="2">
        <v>45730</v>
      </c>
      <c r="C813" t="s">
        <v>1025</v>
      </c>
      <c r="D813" t="s">
        <v>1011</v>
      </c>
      <c r="E813" t="s">
        <v>1044</v>
      </c>
      <c r="F813" t="s">
        <v>1020</v>
      </c>
      <c r="G813">
        <v>1</v>
      </c>
      <c r="H813" s="4">
        <v>7500</v>
      </c>
      <c r="I813" s="4">
        <v>2200</v>
      </c>
      <c r="J813" s="4">
        <v>7500</v>
      </c>
      <c r="K813" t="s">
        <v>1059</v>
      </c>
      <c r="L813" s="5"/>
    </row>
    <row r="814" spans="1:12">
      <c r="A814" t="s">
        <v>391</v>
      </c>
      <c r="B814" s="2">
        <v>45730</v>
      </c>
      <c r="C814" t="s">
        <v>1027</v>
      </c>
      <c r="D814" t="s">
        <v>1013</v>
      </c>
      <c r="E814" t="s">
        <v>1043</v>
      </c>
      <c r="F814" t="s">
        <v>1023</v>
      </c>
      <c r="G814">
        <v>1</v>
      </c>
      <c r="H814" s="4">
        <v>3000</v>
      </c>
      <c r="I814" s="4">
        <v>700</v>
      </c>
      <c r="J814" s="4">
        <v>3000</v>
      </c>
      <c r="K814" t="s">
        <v>1058</v>
      </c>
      <c r="L814" s="5"/>
    </row>
    <row r="815" spans="1:12">
      <c r="A815" t="s">
        <v>517</v>
      </c>
      <c r="B815" s="2">
        <v>45729</v>
      </c>
      <c r="C815" t="s">
        <v>1025</v>
      </c>
      <c r="D815" t="s">
        <v>1011</v>
      </c>
      <c r="E815" t="s">
        <v>1044</v>
      </c>
      <c r="F815" t="s">
        <v>1062</v>
      </c>
      <c r="G815">
        <v>2</v>
      </c>
      <c r="H815" s="4">
        <v>8000</v>
      </c>
      <c r="I815" s="4">
        <v>5000</v>
      </c>
      <c r="J815" s="4">
        <v>16000</v>
      </c>
      <c r="K815" t="s">
        <v>1059</v>
      </c>
      <c r="L815" s="5"/>
    </row>
    <row r="816" spans="1:12">
      <c r="A816" t="s">
        <v>531</v>
      </c>
      <c r="B816" s="2">
        <v>45729</v>
      </c>
      <c r="C816" t="s">
        <v>1026</v>
      </c>
      <c r="D816" t="s">
        <v>1012</v>
      </c>
      <c r="E816" t="s">
        <v>1044</v>
      </c>
      <c r="F816" t="s">
        <v>1020</v>
      </c>
      <c r="G816">
        <v>1</v>
      </c>
      <c r="H816" s="4">
        <v>7500</v>
      </c>
      <c r="I816" s="4">
        <v>2200</v>
      </c>
      <c r="J816" s="4">
        <v>7500</v>
      </c>
      <c r="K816" t="s">
        <v>1058</v>
      </c>
      <c r="L816" s="5"/>
    </row>
    <row r="817" spans="1:12">
      <c r="A817" t="s">
        <v>615</v>
      </c>
      <c r="B817" s="2">
        <v>45729</v>
      </c>
      <c r="C817" t="s">
        <v>1027</v>
      </c>
      <c r="D817" t="s">
        <v>1012</v>
      </c>
      <c r="E817" t="s">
        <v>1044</v>
      </c>
      <c r="F817" t="s">
        <v>1020</v>
      </c>
      <c r="G817">
        <v>1</v>
      </c>
      <c r="H817" s="4">
        <v>7500</v>
      </c>
      <c r="I817" s="4">
        <v>2200</v>
      </c>
      <c r="J817" s="4">
        <v>7500</v>
      </c>
      <c r="K817" t="s">
        <v>1060</v>
      </c>
      <c r="L817" s="5"/>
    </row>
    <row r="818" spans="1:12">
      <c r="A818" t="s">
        <v>29</v>
      </c>
      <c r="B818" s="2">
        <v>45728</v>
      </c>
      <c r="C818" t="s">
        <v>1025</v>
      </c>
      <c r="D818" t="s">
        <v>1012</v>
      </c>
      <c r="E818" t="s">
        <v>1044</v>
      </c>
      <c r="F818" t="s">
        <v>1062</v>
      </c>
      <c r="G818">
        <v>1</v>
      </c>
      <c r="H818" s="4">
        <v>8000</v>
      </c>
      <c r="I818" s="4">
        <v>2500</v>
      </c>
      <c r="J818" s="4">
        <v>8000</v>
      </c>
      <c r="K818" t="s">
        <v>1059</v>
      </c>
      <c r="L818" s="5"/>
    </row>
    <row r="819" spans="1:12">
      <c r="A819" t="s">
        <v>280</v>
      </c>
      <c r="B819" s="2">
        <v>45728</v>
      </c>
      <c r="C819" t="s">
        <v>1026</v>
      </c>
      <c r="D819" t="s">
        <v>1012</v>
      </c>
      <c r="E819" t="s">
        <v>1044</v>
      </c>
      <c r="F819" t="s">
        <v>1063</v>
      </c>
      <c r="G819">
        <v>1</v>
      </c>
      <c r="H819" s="4">
        <v>7000</v>
      </c>
      <c r="I819" s="4">
        <v>2000</v>
      </c>
      <c r="J819" s="4">
        <v>7000</v>
      </c>
      <c r="K819" t="s">
        <v>1058</v>
      </c>
      <c r="L819" s="5"/>
    </row>
    <row r="820" spans="1:12">
      <c r="A820" t="s">
        <v>329</v>
      </c>
      <c r="B820" s="2">
        <v>45728</v>
      </c>
      <c r="C820" t="s">
        <v>1027</v>
      </c>
      <c r="D820" t="s">
        <v>1012</v>
      </c>
      <c r="E820" t="s">
        <v>1042</v>
      </c>
      <c r="F820" t="s">
        <v>1019</v>
      </c>
      <c r="G820">
        <v>1</v>
      </c>
      <c r="H820" s="4">
        <v>3000</v>
      </c>
      <c r="I820" s="4">
        <v>800</v>
      </c>
      <c r="J820" s="4">
        <v>3000</v>
      </c>
      <c r="K820" t="s">
        <v>1058</v>
      </c>
      <c r="L820" s="5"/>
    </row>
    <row r="821" spans="1:12">
      <c r="A821" t="s">
        <v>426</v>
      </c>
      <c r="B821" s="2">
        <v>45728</v>
      </c>
      <c r="C821" t="s">
        <v>1027</v>
      </c>
      <c r="D821" t="s">
        <v>1011</v>
      </c>
      <c r="E821" t="s">
        <v>1043</v>
      </c>
      <c r="F821" t="s">
        <v>1018</v>
      </c>
      <c r="G821">
        <v>1</v>
      </c>
      <c r="H821" s="4">
        <v>2500</v>
      </c>
      <c r="I821" s="4">
        <v>600</v>
      </c>
      <c r="J821" s="4">
        <v>2500</v>
      </c>
      <c r="K821" t="s">
        <v>1060</v>
      </c>
      <c r="L821" s="5"/>
    </row>
    <row r="822" spans="1:12">
      <c r="A822" t="s">
        <v>839</v>
      </c>
      <c r="B822" s="2">
        <v>45728</v>
      </c>
      <c r="C822" t="s">
        <v>1026</v>
      </c>
      <c r="D822" t="s">
        <v>1011</v>
      </c>
      <c r="E822" t="s">
        <v>1043</v>
      </c>
      <c r="F822" t="s">
        <v>1023</v>
      </c>
      <c r="G822">
        <v>1</v>
      </c>
      <c r="H822" s="4">
        <v>3000</v>
      </c>
      <c r="I822" s="4">
        <v>700</v>
      </c>
      <c r="J822" s="4">
        <v>3000</v>
      </c>
      <c r="K822" t="s">
        <v>1060</v>
      </c>
      <c r="L822" s="5"/>
    </row>
    <row r="823" spans="1:12">
      <c r="A823" t="s">
        <v>460</v>
      </c>
      <c r="B823" s="2">
        <v>45727</v>
      </c>
      <c r="C823" t="s">
        <v>1025</v>
      </c>
      <c r="D823" t="s">
        <v>1011</v>
      </c>
      <c r="E823" t="s">
        <v>1044</v>
      </c>
      <c r="F823" t="s">
        <v>1020</v>
      </c>
      <c r="G823">
        <v>1</v>
      </c>
      <c r="H823" s="4">
        <v>7500</v>
      </c>
      <c r="I823" s="4">
        <v>2200</v>
      </c>
      <c r="J823" s="4">
        <v>7500</v>
      </c>
      <c r="K823" t="s">
        <v>1060</v>
      </c>
      <c r="L823" s="5"/>
    </row>
    <row r="824" spans="1:12">
      <c r="A824" t="s">
        <v>589</v>
      </c>
      <c r="B824" s="2">
        <v>45727</v>
      </c>
      <c r="C824" t="s">
        <v>1026</v>
      </c>
      <c r="D824" t="s">
        <v>1013</v>
      </c>
      <c r="E824" t="s">
        <v>1042</v>
      </c>
      <c r="F824" t="s">
        <v>1015</v>
      </c>
      <c r="G824">
        <v>1</v>
      </c>
      <c r="H824" s="4">
        <v>4000</v>
      </c>
      <c r="I824" s="4">
        <v>1000</v>
      </c>
      <c r="J824" s="4">
        <v>4000</v>
      </c>
      <c r="K824" t="s">
        <v>1058</v>
      </c>
      <c r="L824" s="5"/>
    </row>
    <row r="825" spans="1:12">
      <c r="A825" t="s">
        <v>448</v>
      </c>
      <c r="B825" s="2">
        <v>45726</v>
      </c>
      <c r="C825" t="s">
        <v>1026</v>
      </c>
      <c r="D825" t="s">
        <v>1013</v>
      </c>
      <c r="E825" t="s">
        <v>1044</v>
      </c>
      <c r="F825" t="s">
        <v>1014</v>
      </c>
      <c r="G825">
        <v>1</v>
      </c>
      <c r="H825" s="4">
        <v>2500</v>
      </c>
      <c r="I825" s="4">
        <v>500</v>
      </c>
      <c r="J825" s="4">
        <v>2500</v>
      </c>
      <c r="K825" t="s">
        <v>1058</v>
      </c>
      <c r="L825" s="5"/>
    </row>
    <row r="826" spans="1:12">
      <c r="A826" t="s">
        <v>610</v>
      </c>
      <c r="B826" s="2">
        <v>45726</v>
      </c>
      <c r="C826" t="s">
        <v>1025</v>
      </c>
      <c r="D826" t="s">
        <v>1011</v>
      </c>
      <c r="E826" t="s">
        <v>1041</v>
      </c>
      <c r="F826" t="s">
        <v>1016</v>
      </c>
      <c r="G826">
        <v>2</v>
      </c>
      <c r="H826" s="4">
        <v>3000</v>
      </c>
      <c r="I826" s="4">
        <v>1600</v>
      </c>
      <c r="J826" s="4">
        <v>6000</v>
      </c>
      <c r="K826" t="s">
        <v>1059</v>
      </c>
      <c r="L826" s="5"/>
    </row>
    <row r="827" spans="1:12">
      <c r="A827" t="s">
        <v>905</v>
      </c>
      <c r="B827" s="2">
        <v>45726</v>
      </c>
      <c r="C827" t="s">
        <v>1026</v>
      </c>
      <c r="D827" t="s">
        <v>1011</v>
      </c>
      <c r="E827" t="s">
        <v>1044</v>
      </c>
      <c r="F827" t="s">
        <v>1014</v>
      </c>
      <c r="G827">
        <v>1</v>
      </c>
      <c r="H827" s="4">
        <v>2500</v>
      </c>
      <c r="I827" s="4">
        <v>500</v>
      </c>
      <c r="J827" s="4">
        <v>2500</v>
      </c>
      <c r="K827" t="s">
        <v>1060</v>
      </c>
      <c r="L827" s="5"/>
    </row>
    <row r="828" spans="1:12">
      <c r="A828" t="s">
        <v>247</v>
      </c>
      <c r="B828" s="2">
        <v>45725</v>
      </c>
      <c r="C828" t="s">
        <v>1027</v>
      </c>
      <c r="D828" t="s">
        <v>1012</v>
      </c>
      <c r="E828" t="s">
        <v>1041</v>
      </c>
      <c r="F828" t="s">
        <v>1017</v>
      </c>
      <c r="G828">
        <v>1</v>
      </c>
      <c r="H828" s="4">
        <v>2500</v>
      </c>
      <c r="I828" s="4">
        <v>700</v>
      </c>
      <c r="J828" s="4">
        <v>2500</v>
      </c>
      <c r="K828" t="s">
        <v>1059</v>
      </c>
      <c r="L828" s="5"/>
    </row>
    <row r="829" spans="1:12">
      <c r="A829" t="s">
        <v>785</v>
      </c>
      <c r="B829" s="2">
        <v>45725</v>
      </c>
      <c r="C829" t="s">
        <v>1027</v>
      </c>
      <c r="D829" t="s">
        <v>1011</v>
      </c>
      <c r="E829" t="s">
        <v>1044</v>
      </c>
      <c r="F829" t="s">
        <v>1014</v>
      </c>
      <c r="G829">
        <v>1</v>
      </c>
      <c r="H829" s="4">
        <v>2500</v>
      </c>
      <c r="I829" s="4">
        <v>500</v>
      </c>
      <c r="J829" s="4">
        <v>2500</v>
      </c>
      <c r="K829" t="s">
        <v>1059</v>
      </c>
      <c r="L829" s="5"/>
    </row>
    <row r="830" spans="1:12">
      <c r="A830" t="s">
        <v>246</v>
      </c>
      <c r="B830" s="2">
        <v>45724</v>
      </c>
      <c r="C830" t="s">
        <v>1025</v>
      </c>
      <c r="D830" t="s">
        <v>1012</v>
      </c>
      <c r="E830" t="s">
        <v>1044</v>
      </c>
      <c r="F830" t="s">
        <v>1063</v>
      </c>
      <c r="G830">
        <v>1</v>
      </c>
      <c r="H830" s="4">
        <v>7000</v>
      </c>
      <c r="I830" s="4">
        <v>2000</v>
      </c>
      <c r="J830" s="4">
        <v>7000</v>
      </c>
      <c r="K830" t="s">
        <v>1059</v>
      </c>
      <c r="L830" s="5"/>
    </row>
    <row r="831" spans="1:12">
      <c r="A831" t="s">
        <v>389</v>
      </c>
      <c r="B831" s="2">
        <v>45724</v>
      </c>
      <c r="C831" t="s">
        <v>1026</v>
      </c>
      <c r="D831" t="s">
        <v>1011</v>
      </c>
      <c r="E831" t="s">
        <v>1044</v>
      </c>
      <c r="F831" t="s">
        <v>1062</v>
      </c>
      <c r="G831">
        <v>2</v>
      </c>
      <c r="H831" s="4">
        <v>8000</v>
      </c>
      <c r="I831" s="4">
        <v>5000</v>
      </c>
      <c r="J831" s="4">
        <v>16000</v>
      </c>
      <c r="K831" t="s">
        <v>1060</v>
      </c>
      <c r="L831" s="5"/>
    </row>
    <row r="832" spans="1:12">
      <c r="A832" t="s">
        <v>402</v>
      </c>
      <c r="B832" s="2">
        <v>45723</v>
      </c>
      <c r="C832" t="s">
        <v>1027</v>
      </c>
      <c r="D832" t="s">
        <v>1012</v>
      </c>
      <c r="E832" t="s">
        <v>1043</v>
      </c>
      <c r="F832" t="s">
        <v>1021</v>
      </c>
      <c r="G832">
        <v>1</v>
      </c>
      <c r="H832" s="4">
        <v>6000</v>
      </c>
      <c r="I832" s="4">
        <v>1800</v>
      </c>
      <c r="J832" s="4">
        <v>6000</v>
      </c>
      <c r="K832" t="s">
        <v>1058</v>
      </c>
      <c r="L832" s="5"/>
    </row>
    <row r="833" spans="1:12">
      <c r="A833" t="s">
        <v>669</v>
      </c>
      <c r="B833" s="2">
        <v>45723</v>
      </c>
      <c r="C833" t="s">
        <v>1027</v>
      </c>
      <c r="D833" t="s">
        <v>1012</v>
      </c>
      <c r="E833" t="s">
        <v>1042</v>
      </c>
      <c r="F833" t="s">
        <v>1015</v>
      </c>
      <c r="G833">
        <v>2</v>
      </c>
      <c r="H833" s="4">
        <v>4000</v>
      </c>
      <c r="I833" s="4">
        <v>2000</v>
      </c>
      <c r="J833" s="4">
        <v>8000</v>
      </c>
      <c r="K833" t="s">
        <v>1059</v>
      </c>
      <c r="L833" s="5"/>
    </row>
    <row r="834" spans="1:12">
      <c r="A834" t="s">
        <v>836</v>
      </c>
      <c r="B834" s="2">
        <v>45723</v>
      </c>
      <c r="C834" t="s">
        <v>1027</v>
      </c>
      <c r="D834" t="s">
        <v>1012</v>
      </c>
      <c r="E834" t="s">
        <v>1042</v>
      </c>
      <c r="F834" t="s">
        <v>1022</v>
      </c>
      <c r="G834">
        <v>1</v>
      </c>
      <c r="H834" s="4">
        <v>5000</v>
      </c>
      <c r="I834" s="4">
        <v>1500</v>
      </c>
      <c r="J834" s="4">
        <v>5000</v>
      </c>
      <c r="K834" t="s">
        <v>1060</v>
      </c>
      <c r="L834" s="5"/>
    </row>
    <row r="835" spans="1:12">
      <c r="A835" t="s">
        <v>130</v>
      </c>
      <c r="B835" s="2">
        <v>45722</v>
      </c>
      <c r="C835" t="s">
        <v>1026</v>
      </c>
      <c r="D835" t="s">
        <v>1011</v>
      </c>
      <c r="E835" t="s">
        <v>1041</v>
      </c>
      <c r="F835" t="s">
        <v>1016</v>
      </c>
      <c r="G835">
        <v>1</v>
      </c>
      <c r="H835" s="4">
        <v>3000</v>
      </c>
      <c r="I835" s="4">
        <v>800</v>
      </c>
      <c r="J835" s="4">
        <v>3000</v>
      </c>
      <c r="K835" t="s">
        <v>1059</v>
      </c>
      <c r="L835" s="5"/>
    </row>
    <row r="836" spans="1:12">
      <c r="A836" t="s">
        <v>201</v>
      </c>
      <c r="B836" s="2">
        <v>45722</v>
      </c>
      <c r="C836" t="s">
        <v>1025</v>
      </c>
      <c r="D836" t="s">
        <v>1011</v>
      </c>
      <c r="E836" t="s">
        <v>1043</v>
      </c>
      <c r="F836" t="s">
        <v>1023</v>
      </c>
      <c r="G836">
        <v>1</v>
      </c>
      <c r="H836" s="4">
        <v>3000</v>
      </c>
      <c r="I836" s="4">
        <v>700</v>
      </c>
      <c r="J836" s="4">
        <v>3000</v>
      </c>
      <c r="K836" t="s">
        <v>1058</v>
      </c>
      <c r="L836" s="5"/>
    </row>
    <row r="837" spans="1:12">
      <c r="A837" t="s">
        <v>255</v>
      </c>
      <c r="B837" s="2">
        <v>45722</v>
      </c>
      <c r="C837" t="s">
        <v>1026</v>
      </c>
      <c r="D837" t="s">
        <v>1011</v>
      </c>
      <c r="E837" t="s">
        <v>1041</v>
      </c>
      <c r="F837" t="s">
        <v>1016</v>
      </c>
      <c r="G837">
        <v>1</v>
      </c>
      <c r="H837" s="4">
        <v>3000</v>
      </c>
      <c r="I837" s="4">
        <v>800</v>
      </c>
      <c r="J837" s="4">
        <v>3000</v>
      </c>
      <c r="K837" t="s">
        <v>1060</v>
      </c>
      <c r="L837" s="5"/>
    </row>
    <row r="838" spans="1:12">
      <c r="A838" t="s">
        <v>726</v>
      </c>
      <c r="B838" s="2">
        <v>45722</v>
      </c>
      <c r="C838" t="s">
        <v>1027</v>
      </c>
      <c r="D838" t="s">
        <v>1012</v>
      </c>
      <c r="E838" t="s">
        <v>1044</v>
      </c>
      <c r="F838" t="s">
        <v>1014</v>
      </c>
      <c r="G838">
        <v>1</v>
      </c>
      <c r="H838" s="4">
        <v>2500</v>
      </c>
      <c r="I838" s="4">
        <v>500</v>
      </c>
      <c r="J838" s="4">
        <v>2500</v>
      </c>
      <c r="K838" t="s">
        <v>1059</v>
      </c>
      <c r="L838" s="5"/>
    </row>
    <row r="839" spans="1:12">
      <c r="A839" t="s">
        <v>348</v>
      </c>
      <c r="B839" s="2">
        <v>45721</v>
      </c>
      <c r="C839" t="s">
        <v>1026</v>
      </c>
      <c r="D839" t="s">
        <v>1012</v>
      </c>
      <c r="E839" t="s">
        <v>1044</v>
      </c>
      <c r="F839" t="s">
        <v>1062</v>
      </c>
      <c r="G839">
        <v>1</v>
      </c>
      <c r="H839" s="4">
        <v>8000</v>
      </c>
      <c r="I839" s="4">
        <v>2500</v>
      </c>
      <c r="J839" s="4">
        <v>8000</v>
      </c>
      <c r="K839" t="s">
        <v>1058</v>
      </c>
      <c r="L839" s="5"/>
    </row>
    <row r="840" spans="1:12">
      <c r="A840" t="s">
        <v>786</v>
      </c>
      <c r="B840" s="2">
        <v>45721</v>
      </c>
      <c r="C840" t="s">
        <v>1026</v>
      </c>
      <c r="D840" t="s">
        <v>1011</v>
      </c>
      <c r="E840" t="s">
        <v>1043</v>
      </c>
      <c r="F840" t="s">
        <v>1021</v>
      </c>
      <c r="G840">
        <v>1</v>
      </c>
      <c r="H840" s="4">
        <v>6000</v>
      </c>
      <c r="I840" s="4">
        <v>1800</v>
      </c>
      <c r="J840" s="4">
        <v>6000</v>
      </c>
      <c r="K840" t="s">
        <v>1060</v>
      </c>
      <c r="L840" s="5"/>
    </row>
    <row r="841" spans="1:12">
      <c r="A841" t="s">
        <v>790</v>
      </c>
      <c r="B841" s="2">
        <v>45721</v>
      </c>
      <c r="C841" t="s">
        <v>1025</v>
      </c>
      <c r="D841" t="s">
        <v>1012</v>
      </c>
      <c r="E841" t="s">
        <v>1043</v>
      </c>
      <c r="F841" t="s">
        <v>1023</v>
      </c>
      <c r="G841">
        <v>2</v>
      </c>
      <c r="H841" s="4">
        <v>3000</v>
      </c>
      <c r="I841" s="4">
        <v>1400</v>
      </c>
      <c r="J841" s="4">
        <v>6000</v>
      </c>
      <c r="K841" t="s">
        <v>1058</v>
      </c>
      <c r="L841" s="5"/>
    </row>
    <row r="842" spans="1:12">
      <c r="A842" t="s">
        <v>44</v>
      </c>
      <c r="B842" s="2">
        <v>45719</v>
      </c>
      <c r="C842" t="s">
        <v>1027</v>
      </c>
      <c r="D842" t="s">
        <v>1013</v>
      </c>
      <c r="E842" t="s">
        <v>1043</v>
      </c>
      <c r="F842" t="s">
        <v>1023</v>
      </c>
      <c r="G842">
        <v>2</v>
      </c>
      <c r="H842" s="4">
        <v>3000</v>
      </c>
      <c r="I842" s="4">
        <v>1400</v>
      </c>
      <c r="J842" s="4">
        <v>6000</v>
      </c>
      <c r="K842" t="s">
        <v>1059</v>
      </c>
      <c r="L842" s="5"/>
    </row>
    <row r="843" spans="1:12">
      <c r="A843" t="s">
        <v>607</v>
      </c>
      <c r="B843" s="2">
        <v>45719</v>
      </c>
      <c r="C843" t="s">
        <v>1026</v>
      </c>
      <c r="D843" t="s">
        <v>1011</v>
      </c>
      <c r="E843" t="s">
        <v>1041</v>
      </c>
      <c r="F843" t="s">
        <v>1061</v>
      </c>
      <c r="G843">
        <v>1</v>
      </c>
      <c r="H843" s="4">
        <v>5000</v>
      </c>
      <c r="I843" s="4">
        <v>1500</v>
      </c>
      <c r="J843" s="4">
        <v>5000</v>
      </c>
      <c r="K843" t="s">
        <v>1059</v>
      </c>
      <c r="L843" s="5"/>
    </row>
    <row r="844" spans="1:12">
      <c r="A844" t="s">
        <v>631</v>
      </c>
      <c r="B844" s="2">
        <v>45719</v>
      </c>
      <c r="C844" t="s">
        <v>1027</v>
      </c>
      <c r="D844" t="s">
        <v>1011</v>
      </c>
      <c r="E844" t="s">
        <v>1042</v>
      </c>
      <c r="F844" t="s">
        <v>1022</v>
      </c>
      <c r="G844">
        <v>1</v>
      </c>
      <c r="H844" s="4">
        <v>5000</v>
      </c>
      <c r="I844" s="4">
        <v>1500</v>
      </c>
      <c r="J844" s="4">
        <v>5000</v>
      </c>
      <c r="K844" t="s">
        <v>1059</v>
      </c>
      <c r="L844" s="5"/>
    </row>
    <row r="845" spans="1:12">
      <c r="A845" t="s">
        <v>725</v>
      </c>
      <c r="B845" s="2">
        <v>45719</v>
      </c>
      <c r="C845" t="s">
        <v>1026</v>
      </c>
      <c r="D845" t="s">
        <v>1013</v>
      </c>
      <c r="E845" t="s">
        <v>1042</v>
      </c>
      <c r="F845" t="s">
        <v>1019</v>
      </c>
      <c r="G845">
        <v>1</v>
      </c>
      <c r="H845" s="4">
        <v>3000</v>
      </c>
      <c r="I845" s="4">
        <v>800</v>
      </c>
      <c r="J845" s="4">
        <v>3000</v>
      </c>
      <c r="K845" t="s">
        <v>1059</v>
      </c>
      <c r="L845" s="5"/>
    </row>
    <row r="846" spans="1:12">
      <c r="A846" t="s">
        <v>831</v>
      </c>
      <c r="B846" s="2">
        <v>45719</v>
      </c>
      <c r="C846" t="s">
        <v>1026</v>
      </c>
      <c r="D846" t="s">
        <v>1013</v>
      </c>
      <c r="E846" t="s">
        <v>1044</v>
      </c>
      <c r="F846" t="s">
        <v>1014</v>
      </c>
      <c r="G846">
        <v>1</v>
      </c>
      <c r="H846" s="4">
        <v>2500</v>
      </c>
      <c r="I846" s="4">
        <v>500</v>
      </c>
      <c r="J846" s="4">
        <v>2500</v>
      </c>
      <c r="K846" t="s">
        <v>1058</v>
      </c>
      <c r="L846" s="5"/>
    </row>
    <row r="847" spans="1:12">
      <c r="A847" t="s">
        <v>570</v>
      </c>
      <c r="B847" s="2">
        <v>45718</v>
      </c>
      <c r="C847" t="s">
        <v>1027</v>
      </c>
      <c r="D847" t="s">
        <v>1012</v>
      </c>
      <c r="E847" t="s">
        <v>1041</v>
      </c>
      <c r="F847" t="s">
        <v>1016</v>
      </c>
      <c r="G847">
        <v>1</v>
      </c>
      <c r="H847" s="4">
        <v>3000</v>
      </c>
      <c r="I847" s="4">
        <v>800</v>
      </c>
      <c r="J847" s="4">
        <v>3000</v>
      </c>
      <c r="K847" t="s">
        <v>1059</v>
      </c>
      <c r="L847" s="5"/>
    </row>
    <row r="848" spans="1:12">
      <c r="A848" t="s">
        <v>634</v>
      </c>
      <c r="B848" s="2">
        <v>45718</v>
      </c>
      <c r="C848" t="s">
        <v>1027</v>
      </c>
      <c r="D848" t="s">
        <v>1012</v>
      </c>
      <c r="E848" t="s">
        <v>1042</v>
      </c>
      <c r="F848" t="s">
        <v>1019</v>
      </c>
      <c r="G848">
        <v>1</v>
      </c>
      <c r="H848" s="4">
        <v>3000</v>
      </c>
      <c r="I848" s="4">
        <v>800</v>
      </c>
      <c r="J848" s="4">
        <v>3000</v>
      </c>
      <c r="K848" t="s">
        <v>1058</v>
      </c>
      <c r="L848" s="5"/>
    </row>
    <row r="849" spans="1:12">
      <c r="A849" t="s">
        <v>769</v>
      </c>
      <c r="B849" s="2">
        <v>45718</v>
      </c>
      <c r="C849" t="s">
        <v>1026</v>
      </c>
      <c r="D849" t="s">
        <v>1013</v>
      </c>
      <c r="E849" t="s">
        <v>1044</v>
      </c>
      <c r="F849" t="s">
        <v>1063</v>
      </c>
      <c r="G849">
        <v>2</v>
      </c>
      <c r="H849" s="4">
        <v>7000</v>
      </c>
      <c r="I849" s="4">
        <v>4000</v>
      </c>
      <c r="J849" s="4">
        <v>14000</v>
      </c>
      <c r="K849" t="s">
        <v>1060</v>
      </c>
      <c r="L849" s="5"/>
    </row>
    <row r="850" spans="1:12">
      <c r="A850" t="s">
        <v>190</v>
      </c>
      <c r="B850" s="2">
        <v>45716</v>
      </c>
      <c r="C850" t="s">
        <v>1026</v>
      </c>
      <c r="D850" t="s">
        <v>1013</v>
      </c>
      <c r="E850" t="s">
        <v>1041</v>
      </c>
      <c r="F850" t="s">
        <v>1017</v>
      </c>
      <c r="G850">
        <v>1</v>
      </c>
      <c r="H850" s="4">
        <v>2500</v>
      </c>
      <c r="I850" s="4">
        <v>700</v>
      </c>
      <c r="J850" s="4">
        <v>2500</v>
      </c>
      <c r="K850" t="s">
        <v>1060</v>
      </c>
      <c r="L850" s="5"/>
    </row>
    <row r="851" spans="1:12">
      <c r="A851" t="s">
        <v>227</v>
      </c>
      <c r="B851" s="2">
        <v>45716</v>
      </c>
      <c r="C851" t="s">
        <v>1026</v>
      </c>
      <c r="D851" t="s">
        <v>1013</v>
      </c>
      <c r="E851" t="s">
        <v>1042</v>
      </c>
      <c r="F851" t="s">
        <v>1022</v>
      </c>
      <c r="G851">
        <v>1</v>
      </c>
      <c r="H851" s="4">
        <v>5000</v>
      </c>
      <c r="I851" s="4">
        <v>1500</v>
      </c>
      <c r="J851" s="4">
        <v>5000</v>
      </c>
      <c r="K851" t="s">
        <v>1059</v>
      </c>
      <c r="L851" s="5"/>
    </row>
    <row r="852" spans="1:12">
      <c r="A852" t="s">
        <v>566</v>
      </c>
      <c r="B852" s="2">
        <v>45716</v>
      </c>
      <c r="C852" t="s">
        <v>1026</v>
      </c>
      <c r="D852" t="s">
        <v>1011</v>
      </c>
      <c r="E852" t="s">
        <v>1044</v>
      </c>
      <c r="F852" t="s">
        <v>1014</v>
      </c>
      <c r="G852">
        <v>2</v>
      </c>
      <c r="H852" s="4">
        <v>2500</v>
      </c>
      <c r="I852" s="4">
        <v>1000</v>
      </c>
      <c r="J852" s="4">
        <v>5000</v>
      </c>
      <c r="K852" t="s">
        <v>1058</v>
      </c>
      <c r="L852" s="5"/>
    </row>
    <row r="853" spans="1:12">
      <c r="A853" t="s">
        <v>865</v>
      </c>
      <c r="B853" s="2">
        <v>45716</v>
      </c>
      <c r="C853" t="s">
        <v>1025</v>
      </c>
      <c r="D853" t="s">
        <v>1012</v>
      </c>
      <c r="E853" t="s">
        <v>1043</v>
      </c>
      <c r="F853" t="s">
        <v>1023</v>
      </c>
      <c r="G853">
        <v>1</v>
      </c>
      <c r="H853" s="4">
        <v>3000</v>
      </c>
      <c r="I853" s="4">
        <v>700</v>
      </c>
      <c r="J853" s="4">
        <v>3000</v>
      </c>
      <c r="K853" t="s">
        <v>1058</v>
      </c>
      <c r="L853" s="5"/>
    </row>
    <row r="854" spans="1:12">
      <c r="A854" t="s">
        <v>730</v>
      </c>
      <c r="B854" s="2">
        <v>45715</v>
      </c>
      <c r="C854" t="s">
        <v>1026</v>
      </c>
      <c r="D854" t="s">
        <v>1013</v>
      </c>
      <c r="E854" t="s">
        <v>1042</v>
      </c>
      <c r="F854" t="s">
        <v>1019</v>
      </c>
      <c r="G854">
        <v>2</v>
      </c>
      <c r="H854" s="4">
        <v>3000</v>
      </c>
      <c r="I854" s="4">
        <v>1600</v>
      </c>
      <c r="J854" s="4">
        <v>6000</v>
      </c>
      <c r="K854" t="s">
        <v>1059</v>
      </c>
      <c r="L854" s="5"/>
    </row>
    <row r="855" spans="1:12">
      <c r="A855" t="s">
        <v>30</v>
      </c>
      <c r="B855" s="2">
        <v>45714</v>
      </c>
      <c r="C855" t="s">
        <v>1027</v>
      </c>
      <c r="D855" t="s">
        <v>1011</v>
      </c>
      <c r="E855" t="s">
        <v>1042</v>
      </c>
      <c r="F855" t="s">
        <v>1019</v>
      </c>
      <c r="G855">
        <v>1</v>
      </c>
      <c r="H855" s="4">
        <v>3000</v>
      </c>
      <c r="I855" s="4">
        <v>800</v>
      </c>
      <c r="J855" s="4">
        <v>3000</v>
      </c>
      <c r="K855" t="s">
        <v>1059</v>
      </c>
      <c r="L855" s="5"/>
    </row>
    <row r="856" spans="1:12">
      <c r="A856" t="s">
        <v>332</v>
      </c>
      <c r="B856" s="2">
        <v>45714</v>
      </c>
      <c r="C856" t="s">
        <v>1026</v>
      </c>
      <c r="D856" t="s">
        <v>1013</v>
      </c>
      <c r="E856" t="s">
        <v>1043</v>
      </c>
      <c r="F856" t="s">
        <v>1018</v>
      </c>
      <c r="G856">
        <v>2</v>
      </c>
      <c r="H856" s="4">
        <v>2500</v>
      </c>
      <c r="I856" s="4">
        <v>1200</v>
      </c>
      <c r="J856" s="4">
        <v>5000</v>
      </c>
      <c r="K856" t="s">
        <v>1058</v>
      </c>
      <c r="L856" s="5"/>
    </row>
    <row r="857" spans="1:12">
      <c r="A857" t="s">
        <v>334</v>
      </c>
      <c r="B857" s="2">
        <v>45714</v>
      </c>
      <c r="C857" t="s">
        <v>1026</v>
      </c>
      <c r="D857" t="s">
        <v>1011</v>
      </c>
      <c r="E857" t="s">
        <v>1043</v>
      </c>
      <c r="F857" t="s">
        <v>1023</v>
      </c>
      <c r="G857">
        <v>1</v>
      </c>
      <c r="H857" s="4">
        <v>3000</v>
      </c>
      <c r="I857" s="4">
        <v>700</v>
      </c>
      <c r="J857" s="4">
        <v>3000</v>
      </c>
      <c r="K857" t="s">
        <v>1060</v>
      </c>
      <c r="L857" s="5"/>
    </row>
    <row r="858" spans="1:12">
      <c r="A858" t="s">
        <v>799</v>
      </c>
      <c r="B858" s="2">
        <v>45714</v>
      </c>
      <c r="C858" t="s">
        <v>1025</v>
      </c>
      <c r="D858" t="s">
        <v>1011</v>
      </c>
      <c r="E858" t="s">
        <v>1042</v>
      </c>
      <c r="F858" t="s">
        <v>1015</v>
      </c>
      <c r="G858">
        <v>1</v>
      </c>
      <c r="H858" s="4">
        <v>4000</v>
      </c>
      <c r="I858" s="4">
        <v>1000</v>
      </c>
      <c r="J858" s="4">
        <v>4000</v>
      </c>
      <c r="K858" t="s">
        <v>1058</v>
      </c>
      <c r="L858" s="5"/>
    </row>
    <row r="859" spans="1:12">
      <c r="A859" t="s">
        <v>548</v>
      </c>
      <c r="B859" s="2">
        <v>45713</v>
      </c>
      <c r="C859" t="s">
        <v>1027</v>
      </c>
      <c r="D859" t="s">
        <v>1011</v>
      </c>
      <c r="E859" t="s">
        <v>1042</v>
      </c>
      <c r="F859" t="s">
        <v>1015</v>
      </c>
      <c r="G859">
        <v>1</v>
      </c>
      <c r="H859" s="4">
        <v>4000</v>
      </c>
      <c r="I859" s="4">
        <v>1000</v>
      </c>
      <c r="J859" s="4">
        <v>4000</v>
      </c>
      <c r="K859" t="s">
        <v>1060</v>
      </c>
      <c r="L859" s="5"/>
    </row>
    <row r="860" spans="1:12">
      <c r="A860" t="s">
        <v>107</v>
      </c>
      <c r="B860" s="2">
        <v>45712</v>
      </c>
      <c r="C860" t="s">
        <v>1026</v>
      </c>
      <c r="D860" t="s">
        <v>1013</v>
      </c>
      <c r="E860" t="s">
        <v>1042</v>
      </c>
      <c r="F860" t="s">
        <v>1015</v>
      </c>
      <c r="G860">
        <v>1</v>
      </c>
      <c r="H860" s="4">
        <v>4000</v>
      </c>
      <c r="I860" s="4">
        <v>1000</v>
      </c>
      <c r="J860" s="4">
        <v>4000</v>
      </c>
      <c r="K860" t="s">
        <v>1059</v>
      </c>
      <c r="L860" s="5"/>
    </row>
    <row r="861" spans="1:12">
      <c r="A861" t="s">
        <v>505</v>
      </c>
      <c r="B861" s="2">
        <v>45712</v>
      </c>
      <c r="C861" t="s">
        <v>1027</v>
      </c>
      <c r="D861" t="s">
        <v>1011</v>
      </c>
      <c r="E861" t="s">
        <v>1044</v>
      </c>
      <c r="F861" t="s">
        <v>1020</v>
      </c>
      <c r="G861">
        <v>1</v>
      </c>
      <c r="H861" s="4">
        <v>7500</v>
      </c>
      <c r="I861" s="4">
        <v>2200</v>
      </c>
      <c r="J861" s="4">
        <v>7500</v>
      </c>
      <c r="K861" t="s">
        <v>1059</v>
      </c>
      <c r="L861" s="5"/>
    </row>
    <row r="862" spans="1:12">
      <c r="A862" t="s">
        <v>731</v>
      </c>
      <c r="B862" s="2">
        <v>45712</v>
      </c>
      <c r="C862" t="s">
        <v>1025</v>
      </c>
      <c r="D862" t="s">
        <v>1013</v>
      </c>
      <c r="E862" t="s">
        <v>1043</v>
      </c>
      <c r="F862" t="s">
        <v>1021</v>
      </c>
      <c r="G862">
        <v>1</v>
      </c>
      <c r="H862" s="4">
        <v>6000</v>
      </c>
      <c r="I862" s="4">
        <v>1800</v>
      </c>
      <c r="J862" s="4">
        <v>6000</v>
      </c>
      <c r="K862" t="s">
        <v>1058</v>
      </c>
      <c r="L862" s="5"/>
    </row>
    <row r="863" spans="1:12">
      <c r="A863" t="s">
        <v>795</v>
      </c>
      <c r="B863" s="2">
        <v>45712</v>
      </c>
      <c r="C863" t="s">
        <v>1026</v>
      </c>
      <c r="D863" t="s">
        <v>1013</v>
      </c>
      <c r="E863" t="s">
        <v>1044</v>
      </c>
      <c r="F863" t="s">
        <v>1063</v>
      </c>
      <c r="G863">
        <v>1</v>
      </c>
      <c r="H863" s="4">
        <v>7000</v>
      </c>
      <c r="I863" s="4">
        <v>2000</v>
      </c>
      <c r="J863" s="4">
        <v>7000</v>
      </c>
      <c r="K863" t="s">
        <v>1060</v>
      </c>
      <c r="L863" s="5"/>
    </row>
    <row r="864" spans="1:12">
      <c r="A864" t="s">
        <v>941</v>
      </c>
      <c r="B864" s="2">
        <v>45712</v>
      </c>
      <c r="C864" t="s">
        <v>1027</v>
      </c>
      <c r="D864" t="s">
        <v>1012</v>
      </c>
      <c r="E864" t="s">
        <v>1044</v>
      </c>
      <c r="F864" t="s">
        <v>1020</v>
      </c>
      <c r="G864">
        <v>1</v>
      </c>
      <c r="H864" s="4">
        <v>7500</v>
      </c>
      <c r="I864" s="4">
        <v>2200</v>
      </c>
      <c r="J864" s="4">
        <v>7500</v>
      </c>
      <c r="K864" t="s">
        <v>1060</v>
      </c>
      <c r="L864" s="5"/>
    </row>
    <row r="865" spans="1:12">
      <c r="A865" t="s">
        <v>650</v>
      </c>
      <c r="B865" s="2">
        <v>45711</v>
      </c>
      <c r="C865" t="s">
        <v>1027</v>
      </c>
      <c r="D865" t="s">
        <v>1011</v>
      </c>
      <c r="E865" t="s">
        <v>1042</v>
      </c>
      <c r="F865" t="s">
        <v>1022</v>
      </c>
      <c r="G865">
        <v>1</v>
      </c>
      <c r="H865" s="4">
        <v>5000</v>
      </c>
      <c r="I865" s="4">
        <v>1500</v>
      </c>
      <c r="J865" s="4">
        <v>5000</v>
      </c>
      <c r="K865" t="s">
        <v>1059</v>
      </c>
      <c r="L865" s="5"/>
    </row>
    <row r="866" spans="1:12">
      <c r="A866" t="s">
        <v>872</v>
      </c>
      <c r="B866" s="2">
        <v>45711</v>
      </c>
      <c r="C866" t="s">
        <v>1027</v>
      </c>
      <c r="D866" t="s">
        <v>1011</v>
      </c>
      <c r="E866" t="s">
        <v>1042</v>
      </c>
      <c r="F866" t="s">
        <v>1015</v>
      </c>
      <c r="G866">
        <v>2</v>
      </c>
      <c r="H866" s="4">
        <v>4000</v>
      </c>
      <c r="I866" s="4">
        <v>2000</v>
      </c>
      <c r="J866" s="4">
        <v>8000</v>
      </c>
      <c r="K866" t="s">
        <v>1060</v>
      </c>
      <c r="L866" s="5"/>
    </row>
    <row r="867" spans="1:12">
      <c r="A867" t="s">
        <v>7</v>
      </c>
      <c r="B867" s="2">
        <v>45710</v>
      </c>
      <c r="C867" t="s">
        <v>1025</v>
      </c>
      <c r="D867" t="s">
        <v>1011</v>
      </c>
      <c r="E867" t="s">
        <v>1044</v>
      </c>
      <c r="F867" t="s">
        <v>1014</v>
      </c>
      <c r="G867">
        <v>1</v>
      </c>
      <c r="H867" s="4">
        <v>2500</v>
      </c>
      <c r="I867" s="4">
        <v>500</v>
      </c>
      <c r="J867" s="4">
        <v>2500</v>
      </c>
      <c r="K867" t="s">
        <v>1060</v>
      </c>
      <c r="L867" s="5"/>
    </row>
    <row r="868" spans="1:12">
      <c r="A868" t="s">
        <v>527</v>
      </c>
      <c r="B868" s="2">
        <v>45710</v>
      </c>
      <c r="C868" t="s">
        <v>1027</v>
      </c>
      <c r="D868" t="s">
        <v>1013</v>
      </c>
      <c r="E868" t="s">
        <v>1043</v>
      </c>
      <c r="F868" t="s">
        <v>1018</v>
      </c>
      <c r="G868">
        <v>2</v>
      </c>
      <c r="H868" s="4">
        <v>2500</v>
      </c>
      <c r="I868" s="4">
        <v>1200</v>
      </c>
      <c r="J868" s="4">
        <v>5000</v>
      </c>
      <c r="K868" t="s">
        <v>1058</v>
      </c>
      <c r="L868" s="5"/>
    </row>
    <row r="869" spans="1:12">
      <c r="A869" t="s">
        <v>609</v>
      </c>
      <c r="B869" s="2">
        <v>45710</v>
      </c>
      <c r="C869" t="s">
        <v>1026</v>
      </c>
      <c r="D869" t="s">
        <v>1012</v>
      </c>
      <c r="E869" t="s">
        <v>1042</v>
      </c>
      <c r="F869" t="s">
        <v>1019</v>
      </c>
      <c r="G869">
        <v>1</v>
      </c>
      <c r="H869" s="4">
        <v>3000</v>
      </c>
      <c r="I869" s="4">
        <v>800</v>
      </c>
      <c r="J869" s="4">
        <v>3000</v>
      </c>
      <c r="K869" t="s">
        <v>1058</v>
      </c>
      <c r="L869" s="5"/>
    </row>
    <row r="870" spans="1:12">
      <c r="A870" t="s">
        <v>19</v>
      </c>
      <c r="B870" s="2">
        <v>45709</v>
      </c>
      <c r="C870" t="s">
        <v>1026</v>
      </c>
      <c r="D870" t="s">
        <v>1012</v>
      </c>
      <c r="E870" t="s">
        <v>1041</v>
      </c>
      <c r="F870" t="s">
        <v>1017</v>
      </c>
      <c r="G870">
        <v>1</v>
      </c>
      <c r="H870" s="4">
        <v>2500</v>
      </c>
      <c r="I870" s="4">
        <v>700</v>
      </c>
      <c r="J870" s="4">
        <v>2500</v>
      </c>
      <c r="K870" t="s">
        <v>1058</v>
      </c>
      <c r="L870" s="5"/>
    </row>
    <row r="871" spans="1:12">
      <c r="A871" t="s">
        <v>154</v>
      </c>
      <c r="B871" s="2">
        <v>45709</v>
      </c>
      <c r="C871" t="s">
        <v>1027</v>
      </c>
      <c r="D871" t="s">
        <v>1012</v>
      </c>
      <c r="E871" t="s">
        <v>1044</v>
      </c>
      <c r="F871" t="s">
        <v>1063</v>
      </c>
      <c r="G871">
        <v>1</v>
      </c>
      <c r="H871" s="4">
        <v>7000</v>
      </c>
      <c r="I871" s="4">
        <v>2000</v>
      </c>
      <c r="J871" s="4">
        <v>7000</v>
      </c>
      <c r="K871" t="s">
        <v>1059</v>
      </c>
      <c r="L871" s="5"/>
    </row>
    <row r="872" spans="1:12">
      <c r="A872" t="s">
        <v>202</v>
      </c>
      <c r="B872" s="2">
        <v>45709</v>
      </c>
      <c r="C872" t="s">
        <v>1025</v>
      </c>
      <c r="D872" t="s">
        <v>1012</v>
      </c>
      <c r="E872" t="s">
        <v>1041</v>
      </c>
      <c r="F872" t="s">
        <v>1017</v>
      </c>
      <c r="G872">
        <v>2</v>
      </c>
      <c r="H872" s="4">
        <v>2500</v>
      </c>
      <c r="I872" s="4">
        <v>1400</v>
      </c>
      <c r="J872" s="4">
        <v>5000</v>
      </c>
      <c r="K872" t="s">
        <v>1059</v>
      </c>
      <c r="L872" s="5"/>
    </row>
    <row r="873" spans="1:12">
      <c r="A873" t="s">
        <v>314</v>
      </c>
      <c r="B873" s="2">
        <v>45709</v>
      </c>
      <c r="C873" t="s">
        <v>1025</v>
      </c>
      <c r="D873" t="s">
        <v>1011</v>
      </c>
      <c r="E873" t="s">
        <v>1041</v>
      </c>
      <c r="F873" t="s">
        <v>1017</v>
      </c>
      <c r="G873">
        <v>1</v>
      </c>
      <c r="H873" s="4">
        <v>2500</v>
      </c>
      <c r="I873" s="4">
        <v>700</v>
      </c>
      <c r="J873" s="4">
        <v>2500</v>
      </c>
      <c r="K873" t="s">
        <v>1060</v>
      </c>
      <c r="L873" s="5"/>
    </row>
    <row r="874" spans="1:12">
      <c r="A874" t="s">
        <v>429</v>
      </c>
      <c r="B874" s="2">
        <v>45709</v>
      </c>
      <c r="C874" t="s">
        <v>1025</v>
      </c>
      <c r="D874" t="s">
        <v>1013</v>
      </c>
      <c r="E874" t="s">
        <v>1042</v>
      </c>
      <c r="F874" t="s">
        <v>1022</v>
      </c>
      <c r="G874">
        <v>2</v>
      </c>
      <c r="H874" s="4">
        <v>5000</v>
      </c>
      <c r="I874" s="4">
        <v>3000</v>
      </c>
      <c r="J874" s="4">
        <v>10000</v>
      </c>
      <c r="K874" t="s">
        <v>1059</v>
      </c>
      <c r="L874" s="5"/>
    </row>
    <row r="875" spans="1:12">
      <c r="A875" t="s">
        <v>711</v>
      </c>
      <c r="B875" s="2">
        <v>45709</v>
      </c>
      <c r="C875" t="s">
        <v>1026</v>
      </c>
      <c r="D875" t="s">
        <v>1013</v>
      </c>
      <c r="E875" t="s">
        <v>1041</v>
      </c>
      <c r="F875" t="s">
        <v>1016</v>
      </c>
      <c r="G875">
        <v>1</v>
      </c>
      <c r="H875" s="4">
        <v>3000</v>
      </c>
      <c r="I875" s="4">
        <v>800</v>
      </c>
      <c r="J875" s="4">
        <v>3000</v>
      </c>
      <c r="K875" t="s">
        <v>1059</v>
      </c>
      <c r="L875" s="5"/>
    </row>
    <row r="876" spans="1:12">
      <c r="A876" t="s">
        <v>893</v>
      </c>
      <c r="B876" s="2">
        <v>45709</v>
      </c>
      <c r="C876" t="s">
        <v>1026</v>
      </c>
      <c r="D876" t="s">
        <v>1011</v>
      </c>
      <c r="E876" t="s">
        <v>1042</v>
      </c>
      <c r="F876" t="s">
        <v>1015</v>
      </c>
      <c r="G876">
        <v>1</v>
      </c>
      <c r="H876" s="4">
        <v>4000</v>
      </c>
      <c r="I876" s="4">
        <v>1000</v>
      </c>
      <c r="J876" s="4">
        <v>4000</v>
      </c>
      <c r="K876" t="s">
        <v>1059</v>
      </c>
      <c r="L876" s="5"/>
    </row>
    <row r="877" spans="1:12">
      <c r="A877" t="s">
        <v>947</v>
      </c>
      <c r="B877" s="2">
        <v>45709</v>
      </c>
      <c r="C877" t="s">
        <v>1027</v>
      </c>
      <c r="D877" t="s">
        <v>1011</v>
      </c>
      <c r="E877" t="s">
        <v>1043</v>
      </c>
      <c r="F877" t="s">
        <v>1023</v>
      </c>
      <c r="G877">
        <v>1</v>
      </c>
      <c r="H877" s="4">
        <v>3000</v>
      </c>
      <c r="I877" s="4">
        <v>700</v>
      </c>
      <c r="J877" s="4">
        <v>3000</v>
      </c>
      <c r="K877" t="s">
        <v>1058</v>
      </c>
      <c r="L877" s="5"/>
    </row>
    <row r="878" spans="1:12">
      <c r="A878" t="s">
        <v>988</v>
      </c>
      <c r="B878" s="2">
        <v>45709</v>
      </c>
      <c r="C878" t="s">
        <v>1025</v>
      </c>
      <c r="D878" t="s">
        <v>1012</v>
      </c>
      <c r="E878" t="s">
        <v>1041</v>
      </c>
      <c r="F878" t="s">
        <v>1016</v>
      </c>
      <c r="G878">
        <v>1</v>
      </c>
      <c r="H878" s="4">
        <v>3000</v>
      </c>
      <c r="I878" s="4">
        <v>800</v>
      </c>
      <c r="J878" s="4">
        <v>3000</v>
      </c>
      <c r="K878" t="s">
        <v>1059</v>
      </c>
      <c r="L878" s="5"/>
    </row>
    <row r="879" spans="1:12">
      <c r="A879" t="s">
        <v>257</v>
      </c>
      <c r="B879" s="2">
        <v>45708</v>
      </c>
      <c r="C879" t="s">
        <v>1025</v>
      </c>
      <c r="D879" t="s">
        <v>1013</v>
      </c>
      <c r="E879" t="s">
        <v>1043</v>
      </c>
      <c r="F879" t="s">
        <v>1023</v>
      </c>
      <c r="G879">
        <v>2</v>
      </c>
      <c r="H879" s="4">
        <v>3000</v>
      </c>
      <c r="I879" s="4">
        <v>1400</v>
      </c>
      <c r="J879" s="4">
        <v>6000</v>
      </c>
      <c r="K879" t="s">
        <v>1060</v>
      </c>
      <c r="L879" s="5"/>
    </row>
    <row r="880" spans="1:12">
      <c r="A880" t="s">
        <v>328</v>
      </c>
      <c r="B880" s="2">
        <v>45708</v>
      </c>
      <c r="C880" t="s">
        <v>1025</v>
      </c>
      <c r="D880" t="s">
        <v>1011</v>
      </c>
      <c r="E880" t="s">
        <v>1041</v>
      </c>
      <c r="F880" t="s">
        <v>1061</v>
      </c>
      <c r="G880">
        <v>1</v>
      </c>
      <c r="H880" s="4">
        <v>5000</v>
      </c>
      <c r="I880" s="4">
        <v>1500</v>
      </c>
      <c r="J880" s="4">
        <v>5000</v>
      </c>
      <c r="K880" t="s">
        <v>1058</v>
      </c>
      <c r="L880" s="5"/>
    </row>
    <row r="881" spans="1:12">
      <c r="A881" t="s">
        <v>870</v>
      </c>
      <c r="B881" s="2">
        <v>45707</v>
      </c>
      <c r="C881" t="s">
        <v>1027</v>
      </c>
      <c r="D881" t="s">
        <v>1011</v>
      </c>
      <c r="E881" t="s">
        <v>1044</v>
      </c>
      <c r="F881" t="s">
        <v>1062</v>
      </c>
      <c r="G881">
        <v>1</v>
      </c>
      <c r="H881" s="4">
        <v>8000</v>
      </c>
      <c r="I881" s="4">
        <v>2500</v>
      </c>
      <c r="J881" s="4">
        <v>8000</v>
      </c>
      <c r="K881" t="s">
        <v>1060</v>
      </c>
      <c r="L881" s="5"/>
    </row>
    <row r="882" spans="1:12">
      <c r="A882" t="s">
        <v>665</v>
      </c>
      <c r="B882" s="2">
        <v>45706</v>
      </c>
      <c r="C882" t="s">
        <v>1026</v>
      </c>
      <c r="D882" t="s">
        <v>1013</v>
      </c>
      <c r="E882" t="s">
        <v>1043</v>
      </c>
      <c r="F882" t="s">
        <v>1023</v>
      </c>
      <c r="G882">
        <v>1</v>
      </c>
      <c r="H882" s="4">
        <v>3000</v>
      </c>
      <c r="I882" s="4">
        <v>700</v>
      </c>
      <c r="J882" s="4">
        <v>3000</v>
      </c>
      <c r="K882" t="s">
        <v>1059</v>
      </c>
      <c r="L882" s="5"/>
    </row>
    <row r="883" spans="1:12">
      <c r="A883" t="s">
        <v>103</v>
      </c>
      <c r="B883" s="2">
        <v>45705</v>
      </c>
      <c r="C883" t="s">
        <v>1027</v>
      </c>
      <c r="D883" t="s">
        <v>1011</v>
      </c>
      <c r="E883" t="s">
        <v>1043</v>
      </c>
      <c r="F883" t="s">
        <v>1018</v>
      </c>
      <c r="G883">
        <v>1</v>
      </c>
      <c r="H883" s="4">
        <v>2500</v>
      </c>
      <c r="I883" s="4">
        <v>600</v>
      </c>
      <c r="J883" s="4">
        <v>2500</v>
      </c>
      <c r="K883" t="s">
        <v>1058</v>
      </c>
      <c r="L883" s="5"/>
    </row>
    <row r="884" spans="1:12">
      <c r="A884" t="s">
        <v>148</v>
      </c>
      <c r="B884" s="2">
        <v>45705</v>
      </c>
      <c r="C884" t="s">
        <v>1026</v>
      </c>
      <c r="D884" t="s">
        <v>1013</v>
      </c>
      <c r="E884" t="s">
        <v>1042</v>
      </c>
      <c r="F884" t="s">
        <v>1019</v>
      </c>
      <c r="G884">
        <v>1</v>
      </c>
      <c r="H884" s="4">
        <v>3000</v>
      </c>
      <c r="I884" s="4">
        <v>800</v>
      </c>
      <c r="J884" s="4">
        <v>3000</v>
      </c>
      <c r="K884" t="s">
        <v>1058</v>
      </c>
      <c r="L884" s="5"/>
    </row>
    <row r="885" spans="1:12">
      <c r="A885" t="s">
        <v>509</v>
      </c>
      <c r="B885" s="2">
        <v>45705</v>
      </c>
      <c r="C885" t="s">
        <v>1026</v>
      </c>
      <c r="D885" t="s">
        <v>1012</v>
      </c>
      <c r="E885" t="s">
        <v>1041</v>
      </c>
      <c r="F885" t="s">
        <v>1017</v>
      </c>
      <c r="G885">
        <v>1</v>
      </c>
      <c r="H885" s="4">
        <v>2500</v>
      </c>
      <c r="I885" s="4">
        <v>700</v>
      </c>
      <c r="J885" s="4">
        <v>2500</v>
      </c>
      <c r="K885" t="s">
        <v>1058</v>
      </c>
      <c r="L885" s="5"/>
    </row>
    <row r="886" spans="1:12">
      <c r="A886" t="s">
        <v>602</v>
      </c>
      <c r="B886" s="2">
        <v>45705</v>
      </c>
      <c r="C886" t="s">
        <v>1025</v>
      </c>
      <c r="D886" t="s">
        <v>1012</v>
      </c>
      <c r="E886" t="s">
        <v>1041</v>
      </c>
      <c r="F886" t="s">
        <v>1016</v>
      </c>
      <c r="G886">
        <v>1</v>
      </c>
      <c r="H886" s="4">
        <v>3000</v>
      </c>
      <c r="I886" s="4">
        <v>800</v>
      </c>
      <c r="J886" s="4">
        <v>3000</v>
      </c>
      <c r="K886" t="s">
        <v>1058</v>
      </c>
      <c r="L886" s="5"/>
    </row>
    <row r="887" spans="1:12">
      <c r="A887" t="s">
        <v>224</v>
      </c>
      <c r="B887" s="2">
        <v>45704</v>
      </c>
      <c r="C887" t="s">
        <v>1026</v>
      </c>
      <c r="D887" t="s">
        <v>1012</v>
      </c>
      <c r="E887" t="s">
        <v>1042</v>
      </c>
      <c r="F887" t="s">
        <v>1022</v>
      </c>
      <c r="G887">
        <v>1</v>
      </c>
      <c r="H887" s="4">
        <v>5000</v>
      </c>
      <c r="I887" s="4">
        <v>1500</v>
      </c>
      <c r="J887" s="4">
        <v>5000</v>
      </c>
      <c r="K887" t="s">
        <v>1060</v>
      </c>
      <c r="L887" s="5"/>
    </row>
    <row r="888" spans="1:12">
      <c r="A888" t="s">
        <v>229</v>
      </c>
      <c r="B888" s="2">
        <v>45704</v>
      </c>
      <c r="C888" t="s">
        <v>1026</v>
      </c>
      <c r="D888" t="s">
        <v>1013</v>
      </c>
      <c r="E888" t="s">
        <v>1042</v>
      </c>
      <c r="F888" t="s">
        <v>1019</v>
      </c>
      <c r="G888">
        <v>1</v>
      </c>
      <c r="H888" s="4">
        <v>3000</v>
      </c>
      <c r="I888" s="4">
        <v>800</v>
      </c>
      <c r="J888" s="4">
        <v>3000</v>
      </c>
      <c r="K888" t="s">
        <v>1058</v>
      </c>
      <c r="L888" s="5"/>
    </row>
    <row r="889" spans="1:12">
      <c r="A889" t="s">
        <v>287</v>
      </c>
      <c r="B889" s="2">
        <v>45703</v>
      </c>
      <c r="C889" t="s">
        <v>1026</v>
      </c>
      <c r="D889" t="s">
        <v>1013</v>
      </c>
      <c r="E889" t="s">
        <v>1043</v>
      </c>
      <c r="F889" t="s">
        <v>1023</v>
      </c>
      <c r="G889">
        <v>1</v>
      </c>
      <c r="H889" s="4">
        <v>3000</v>
      </c>
      <c r="I889" s="4">
        <v>700</v>
      </c>
      <c r="J889" s="4">
        <v>3000</v>
      </c>
      <c r="K889" t="s">
        <v>1059</v>
      </c>
      <c r="L889" s="5"/>
    </row>
    <row r="890" spans="1:12">
      <c r="A890" t="s">
        <v>821</v>
      </c>
      <c r="B890" s="2">
        <v>45703</v>
      </c>
      <c r="C890" t="s">
        <v>1026</v>
      </c>
      <c r="D890" t="s">
        <v>1012</v>
      </c>
      <c r="E890" t="s">
        <v>1043</v>
      </c>
      <c r="F890" t="s">
        <v>1023</v>
      </c>
      <c r="G890">
        <v>2</v>
      </c>
      <c r="H890" s="4">
        <v>3000</v>
      </c>
      <c r="I890" s="4">
        <v>1400</v>
      </c>
      <c r="J890" s="4">
        <v>6000</v>
      </c>
      <c r="K890" t="s">
        <v>1058</v>
      </c>
      <c r="L890" s="5"/>
    </row>
    <row r="891" spans="1:12">
      <c r="A891" t="s">
        <v>526</v>
      </c>
      <c r="B891" s="2">
        <v>45702</v>
      </c>
      <c r="C891" t="s">
        <v>1027</v>
      </c>
      <c r="D891" t="s">
        <v>1012</v>
      </c>
      <c r="E891" t="s">
        <v>1041</v>
      </c>
      <c r="F891" t="s">
        <v>1017</v>
      </c>
      <c r="G891">
        <v>1</v>
      </c>
      <c r="H891" s="4">
        <v>2500</v>
      </c>
      <c r="I891" s="4">
        <v>700</v>
      </c>
      <c r="J891" s="4">
        <v>2500</v>
      </c>
      <c r="K891" t="s">
        <v>1058</v>
      </c>
      <c r="L891" s="5"/>
    </row>
    <row r="892" spans="1:12">
      <c r="A892" t="s">
        <v>301</v>
      </c>
      <c r="B892" s="2">
        <v>45701</v>
      </c>
      <c r="C892" t="s">
        <v>1025</v>
      </c>
      <c r="D892" t="s">
        <v>1011</v>
      </c>
      <c r="E892" t="s">
        <v>1041</v>
      </c>
      <c r="F892" t="s">
        <v>1017</v>
      </c>
      <c r="G892">
        <v>1</v>
      </c>
      <c r="H892" s="4">
        <v>2500</v>
      </c>
      <c r="I892" s="4">
        <v>700</v>
      </c>
      <c r="J892" s="4">
        <v>2500</v>
      </c>
      <c r="K892" t="s">
        <v>1059</v>
      </c>
      <c r="L892" s="5"/>
    </row>
    <row r="893" spans="1:12">
      <c r="A893" t="s">
        <v>522</v>
      </c>
      <c r="B893" s="2">
        <v>45701</v>
      </c>
      <c r="C893" t="s">
        <v>1025</v>
      </c>
      <c r="D893" t="s">
        <v>1012</v>
      </c>
      <c r="E893" t="s">
        <v>1041</v>
      </c>
      <c r="F893" t="s">
        <v>1016</v>
      </c>
      <c r="G893">
        <v>2</v>
      </c>
      <c r="H893" s="4">
        <v>3000</v>
      </c>
      <c r="I893" s="4">
        <v>1600</v>
      </c>
      <c r="J893" s="4">
        <v>6000</v>
      </c>
      <c r="K893" t="s">
        <v>1059</v>
      </c>
      <c r="L893" s="5"/>
    </row>
    <row r="894" spans="1:12">
      <c r="A894" t="s">
        <v>554</v>
      </c>
      <c r="B894" s="2">
        <v>45701</v>
      </c>
      <c r="C894" t="s">
        <v>1027</v>
      </c>
      <c r="D894" t="s">
        <v>1011</v>
      </c>
      <c r="E894" t="s">
        <v>1044</v>
      </c>
      <c r="F894" t="s">
        <v>1063</v>
      </c>
      <c r="G894">
        <v>2</v>
      </c>
      <c r="H894" s="4">
        <v>7000</v>
      </c>
      <c r="I894" s="4">
        <v>4000</v>
      </c>
      <c r="J894" s="4">
        <v>14000</v>
      </c>
      <c r="K894" t="s">
        <v>1059</v>
      </c>
      <c r="L894" s="5"/>
    </row>
    <row r="895" spans="1:12">
      <c r="A895" t="s">
        <v>653</v>
      </c>
      <c r="B895" s="2">
        <v>45701</v>
      </c>
      <c r="C895" t="s">
        <v>1025</v>
      </c>
      <c r="D895" t="s">
        <v>1013</v>
      </c>
      <c r="E895" t="s">
        <v>1044</v>
      </c>
      <c r="F895" t="s">
        <v>1062</v>
      </c>
      <c r="G895">
        <v>2</v>
      </c>
      <c r="H895" s="4">
        <v>8000</v>
      </c>
      <c r="I895" s="4">
        <v>5000</v>
      </c>
      <c r="J895" s="4">
        <v>16000</v>
      </c>
      <c r="K895" t="s">
        <v>1060</v>
      </c>
      <c r="L895" s="5"/>
    </row>
    <row r="896" spans="1:12">
      <c r="A896" t="s">
        <v>721</v>
      </c>
      <c r="B896" s="2">
        <v>45701</v>
      </c>
      <c r="C896" t="s">
        <v>1025</v>
      </c>
      <c r="D896" t="s">
        <v>1012</v>
      </c>
      <c r="E896" t="s">
        <v>1042</v>
      </c>
      <c r="F896" t="s">
        <v>1019</v>
      </c>
      <c r="G896">
        <v>1</v>
      </c>
      <c r="H896" s="4">
        <v>3000</v>
      </c>
      <c r="I896" s="4">
        <v>800</v>
      </c>
      <c r="J896" s="4">
        <v>3000</v>
      </c>
      <c r="K896" t="s">
        <v>1060</v>
      </c>
      <c r="L896" s="5"/>
    </row>
    <row r="897" spans="1:12">
      <c r="A897" t="s">
        <v>523</v>
      </c>
      <c r="B897" s="2">
        <v>45700</v>
      </c>
      <c r="C897" t="s">
        <v>1026</v>
      </c>
      <c r="D897" t="s">
        <v>1013</v>
      </c>
      <c r="E897" t="s">
        <v>1042</v>
      </c>
      <c r="F897" t="s">
        <v>1022</v>
      </c>
      <c r="G897">
        <v>1</v>
      </c>
      <c r="H897" s="4">
        <v>5000</v>
      </c>
      <c r="I897" s="4">
        <v>1500</v>
      </c>
      <c r="J897" s="4">
        <v>5000</v>
      </c>
      <c r="K897" t="s">
        <v>1058</v>
      </c>
      <c r="L897" s="5"/>
    </row>
    <row r="898" spans="1:12">
      <c r="A898" t="s">
        <v>937</v>
      </c>
      <c r="B898" s="2">
        <v>45700</v>
      </c>
      <c r="C898" t="s">
        <v>1026</v>
      </c>
      <c r="D898" t="s">
        <v>1011</v>
      </c>
      <c r="E898" t="s">
        <v>1042</v>
      </c>
      <c r="F898" t="s">
        <v>1019</v>
      </c>
      <c r="G898">
        <v>1</v>
      </c>
      <c r="H898" s="4">
        <v>3000</v>
      </c>
      <c r="I898" s="4">
        <v>800</v>
      </c>
      <c r="J898" s="4">
        <v>3000</v>
      </c>
      <c r="K898" t="s">
        <v>1060</v>
      </c>
      <c r="L898" s="5"/>
    </row>
    <row r="899" spans="1:12">
      <c r="A899" t="s">
        <v>716</v>
      </c>
      <c r="B899" s="2">
        <v>45699</v>
      </c>
      <c r="C899" t="s">
        <v>1026</v>
      </c>
      <c r="D899" t="s">
        <v>1013</v>
      </c>
      <c r="E899" t="s">
        <v>1041</v>
      </c>
      <c r="F899" t="s">
        <v>1016</v>
      </c>
      <c r="G899">
        <v>1</v>
      </c>
      <c r="H899" s="4">
        <v>3000</v>
      </c>
      <c r="I899" s="4">
        <v>800</v>
      </c>
      <c r="J899" s="4">
        <v>3000</v>
      </c>
      <c r="K899" t="s">
        <v>1058</v>
      </c>
      <c r="L899" s="5"/>
    </row>
    <row r="900" spans="1:12">
      <c r="A900" t="s">
        <v>351</v>
      </c>
      <c r="B900" s="2">
        <v>45698</v>
      </c>
      <c r="C900" t="s">
        <v>1026</v>
      </c>
      <c r="D900" t="s">
        <v>1011</v>
      </c>
      <c r="E900" t="s">
        <v>1042</v>
      </c>
      <c r="F900" t="s">
        <v>1022</v>
      </c>
      <c r="G900">
        <v>2</v>
      </c>
      <c r="H900" s="4">
        <v>5000</v>
      </c>
      <c r="I900" s="4">
        <v>3000</v>
      </c>
      <c r="J900" s="4">
        <v>10000</v>
      </c>
      <c r="K900" t="s">
        <v>1059</v>
      </c>
      <c r="L900" s="5"/>
    </row>
    <row r="901" spans="1:12">
      <c r="A901" t="s">
        <v>424</v>
      </c>
      <c r="B901" s="2">
        <v>45698</v>
      </c>
      <c r="C901" t="s">
        <v>1026</v>
      </c>
      <c r="D901" t="s">
        <v>1012</v>
      </c>
      <c r="E901" t="s">
        <v>1041</v>
      </c>
      <c r="F901" t="s">
        <v>1061</v>
      </c>
      <c r="G901">
        <v>1</v>
      </c>
      <c r="H901" s="4">
        <v>5000</v>
      </c>
      <c r="I901" s="4">
        <v>1500</v>
      </c>
      <c r="J901" s="4">
        <v>5000</v>
      </c>
      <c r="K901" t="s">
        <v>1060</v>
      </c>
      <c r="L901" s="5"/>
    </row>
    <row r="902" spans="1:12">
      <c r="A902" t="s">
        <v>507</v>
      </c>
      <c r="B902" s="2">
        <v>45698</v>
      </c>
      <c r="C902" t="s">
        <v>1026</v>
      </c>
      <c r="D902" t="s">
        <v>1012</v>
      </c>
      <c r="E902" t="s">
        <v>1044</v>
      </c>
      <c r="F902" t="s">
        <v>1063</v>
      </c>
      <c r="G902">
        <v>2</v>
      </c>
      <c r="H902" s="4">
        <v>7000</v>
      </c>
      <c r="I902" s="4">
        <v>4000</v>
      </c>
      <c r="J902" s="4">
        <v>14000</v>
      </c>
      <c r="K902" t="s">
        <v>1058</v>
      </c>
      <c r="L902" s="5"/>
    </row>
    <row r="903" spans="1:12">
      <c r="A903" t="s">
        <v>1001</v>
      </c>
      <c r="B903" s="2">
        <v>45698</v>
      </c>
      <c r="C903" t="s">
        <v>1027</v>
      </c>
      <c r="D903" t="s">
        <v>1012</v>
      </c>
      <c r="E903" t="s">
        <v>1044</v>
      </c>
      <c r="F903" t="s">
        <v>1020</v>
      </c>
      <c r="G903">
        <v>1</v>
      </c>
      <c r="H903" s="4">
        <v>7500</v>
      </c>
      <c r="I903" s="4">
        <v>2200</v>
      </c>
      <c r="J903" s="4">
        <v>7500</v>
      </c>
      <c r="K903" t="s">
        <v>1059</v>
      </c>
      <c r="L903" s="5"/>
    </row>
    <row r="904" spans="1:12">
      <c r="A904" t="s">
        <v>134</v>
      </c>
      <c r="B904" s="2">
        <v>45696</v>
      </c>
      <c r="C904" t="s">
        <v>1025</v>
      </c>
      <c r="D904" t="s">
        <v>1011</v>
      </c>
      <c r="E904" t="s">
        <v>1042</v>
      </c>
      <c r="F904" t="s">
        <v>1022</v>
      </c>
      <c r="G904">
        <v>1</v>
      </c>
      <c r="H904" s="4">
        <v>5000</v>
      </c>
      <c r="I904" s="4">
        <v>1500</v>
      </c>
      <c r="J904" s="4">
        <v>5000</v>
      </c>
      <c r="K904" t="s">
        <v>1060</v>
      </c>
      <c r="L904" s="5"/>
    </row>
    <row r="905" spans="1:12">
      <c r="A905" t="s">
        <v>356</v>
      </c>
      <c r="B905" s="2">
        <v>45696</v>
      </c>
      <c r="C905" t="s">
        <v>1025</v>
      </c>
      <c r="D905" t="s">
        <v>1011</v>
      </c>
      <c r="E905" t="s">
        <v>1042</v>
      </c>
      <c r="F905" t="s">
        <v>1019</v>
      </c>
      <c r="G905">
        <v>1</v>
      </c>
      <c r="H905" s="4">
        <v>3000</v>
      </c>
      <c r="I905" s="4">
        <v>800</v>
      </c>
      <c r="J905" s="4">
        <v>3000</v>
      </c>
      <c r="K905" t="s">
        <v>1058</v>
      </c>
      <c r="L905" s="5"/>
    </row>
    <row r="906" spans="1:12">
      <c r="A906" t="s">
        <v>499</v>
      </c>
      <c r="B906" s="2">
        <v>45696</v>
      </c>
      <c r="C906" t="s">
        <v>1025</v>
      </c>
      <c r="D906" t="s">
        <v>1013</v>
      </c>
      <c r="E906" t="s">
        <v>1043</v>
      </c>
      <c r="F906" t="s">
        <v>1018</v>
      </c>
      <c r="G906">
        <v>1</v>
      </c>
      <c r="H906" s="4">
        <v>2500</v>
      </c>
      <c r="I906" s="4">
        <v>600</v>
      </c>
      <c r="J906" s="4">
        <v>2500</v>
      </c>
      <c r="K906" t="s">
        <v>1059</v>
      </c>
      <c r="L906" s="5"/>
    </row>
    <row r="907" spans="1:12">
      <c r="A907" t="s">
        <v>654</v>
      </c>
      <c r="B907" s="2">
        <v>45696</v>
      </c>
      <c r="C907" t="s">
        <v>1025</v>
      </c>
      <c r="D907" t="s">
        <v>1011</v>
      </c>
      <c r="E907" t="s">
        <v>1041</v>
      </c>
      <c r="F907" t="s">
        <v>1016</v>
      </c>
      <c r="G907">
        <v>2</v>
      </c>
      <c r="H907" s="4">
        <v>3000</v>
      </c>
      <c r="I907" s="4">
        <v>1600</v>
      </c>
      <c r="J907" s="4">
        <v>6000</v>
      </c>
      <c r="K907" t="s">
        <v>1059</v>
      </c>
      <c r="L907" s="5"/>
    </row>
    <row r="908" spans="1:12">
      <c r="A908" t="s">
        <v>668</v>
      </c>
      <c r="B908" s="2">
        <v>45696</v>
      </c>
      <c r="C908" t="s">
        <v>1027</v>
      </c>
      <c r="D908" t="s">
        <v>1013</v>
      </c>
      <c r="E908" t="s">
        <v>1043</v>
      </c>
      <c r="F908" t="s">
        <v>1021</v>
      </c>
      <c r="G908">
        <v>1</v>
      </c>
      <c r="H908" s="4">
        <v>6000</v>
      </c>
      <c r="I908" s="4">
        <v>1800</v>
      </c>
      <c r="J908" s="4">
        <v>6000</v>
      </c>
      <c r="K908" t="s">
        <v>1059</v>
      </c>
      <c r="L908" s="5"/>
    </row>
    <row r="909" spans="1:12">
      <c r="A909" t="s">
        <v>902</v>
      </c>
      <c r="B909" s="2">
        <v>45696</v>
      </c>
      <c r="C909" t="s">
        <v>1027</v>
      </c>
      <c r="D909" t="s">
        <v>1011</v>
      </c>
      <c r="E909" t="s">
        <v>1042</v>
      </c>
      <c r="F909" t="s">
        <v>1015</v>
      </c>
      <c r="G909">
        <v>1</v>
      </c>
      <c r="H909" s="4">
        <v>4000</v>
      </c>
      <c r="I909" s="4">
        <v>1000</v>
      </c>
      <c r="J909" s="4">
        <v>4000</v>
      </c>
      <c r="K909" t="s">
        <v>1060</v>
      </c>
      <c r="L909" s="5"/>
    </row>
    <row r="910" spans="1:12">
      <c r="A910" t="s">
        <v>971</v>
      </c>
      <c r="B910" s="2">
        <v>45696</v>
      </c>
      <c r="C910" t="s">
        <v>1025</v>
      </c>
      <c r="D910" t="s">
        <v>1013</v>
      </c>
      <c r="E910" t="s">
        <v>1042</v>
      </c>
      <c r="F910" t="s">
        <v>1022</v>
      </c>
      <c r="G910">
        <v>1</v>
      </c>
      <c r="H910" s="4">
        <v>5000</v>
      </c>
      <c r="I910" s="4">
        <v>1500</v>
      </c>
      <c r="J910" s="4">
        <v>5000</v>
      </c>
      <c r="K910" t="s">
        <v>1058</v>
      </c>
      <c r="L910" s="5"/>
    </row>
    <row r="911" spans="1:12">
      <c r="A911" t="s">
        <v>68</v>
      </c>
      <c r="B911" s="2">
        <v>45695</v>
      </c>
      <c r="C911" t="s">
        <v>1025</v>
      </c>
      <c r="D911" t="s">
        <v>1013</v>
      </c>
      <c r="E911" t="s">
        <v>1043</v>
      </c>
      <c r="F911" t="s">
        <v>1021</v>
      </c>
      <c r="G911">
        <v>1</v>
      </c>
      <c r="H911" s="4">
        <v>6000</v>
      </c>
      <c r="I911" s="4">
        <v>1800</v>
      </c>
      <c r="J911" s="4">
        <v>6000</v>
      </c>
      <c r="K911" t="s">
        <v>1060</v>
      </c>
      <c r="L911" s="5"/>
    </row>
    <row r="912" spans="1:12">
      <c r="A912" t="s">
        <v>160</v>
      </c>
      <c r="B912" s="2">
        <v>45695</v>
      </c>
      <c r="C912" t="s">
        <v>1025</v>
      </c>
      <c r="D912" t="s">
        <v>1011</v>
      </c>
      <c r="E912" t="s">
        <v>1044</v>
      </c>
      <c r="F912" t="s">
        <v>1020</v>
      </c>
      <c r="G912">
        <v>2</v>
      </c>
      <c r="H912" s="4">
        <v>7500</v>
      </c>
      <c r="I912" s="4">
        <v>4400</v>
      </c>
      <c r="J912" s="4">
        <v>15000</v>
      </c>
      <c r="K912" t="s">
        <v>1060</v>
      </c>
      <c r="L912" s="5"/>
    </row>
    <row r="913" spans="1:12">
      <c r="A913" t="s">
        <v>254</v>
      </c>
      <c r="B913" s="2">
        <v>45695</v>
      </c>
      <c r="C913" t="s">
        <v>1027</v>
      </c>
      <c r="D913" t="s">
        <v>1012</v>
      </c>
      <c r="E913" t="s">
        <v>1042</v>
      </c>
      <c r="F913" t="s">
        <v>1022</v>
      </c>
      <c r="G913">
        <v>2</v>
      </c>
      <c r="H913" s="4">
        <v>5000</v>
      </c>
      <c r="I913" s="4">
        <v>3000</v>
      </c>
      <c r="J913" s="4">
        <v>10000</v>
      </c>
      <c r="K913" t="s">
        <v>1060</v>
      </c>
      <c r="L913" s="5"/>
    </row>
    <row r="914" spans="1:12">
      <c r="A914" t="s">
        <v>386</v>
      </c>
      <c r="B914" s="2">
        <v>45695</v>
      </c>
      <c r="C914" t="s">
        <v>1025</v>
      </c>
      <c r="D914" t="s">
        <v>1013</v>
      </c>
      <c r="E914" t="s">
        <v>1044</v>
      </c>
      <c r="F914" t="s">
        <v>1063</v>
      </c>
      <c r="G914">
        <v>2</v>
      </c>
      <c r="H914" s="4">
        <v>7000</v>
      </c>
      <c r="I914" s="4">
        <v>4000</v>
      </c>
      <c r="J914" s="4">
        <v>14000</v>
      </c>
      <c r="K914" t="s">
        <v>1059</v>
      </c>
      <c r="L914" s="5"/>
    </row>
    <row r="915" spans="1:12">
      <c r="A915" t="s">
        <v>484</v>
      </c>
      <c r="B915" s="2">
        <v>45695</v>
      </c>
      <c r="C915" t="s">
        <v>1027</v>
      </c>
      <c r="D915" t="s">
        <v>1011</v>
      </c>
      <c r="E915" t="s">
        <v>1043</v>
      </c>
      <c r="F915" t="s">
        <v>1021</v>
      </c>
      <c r="G915">
        <v>1</v>
      </c>
      <c r="H915" s="4">
        <v>6000</v>
      </c>
      <c r="I915" s="4">
        <v>1800</v>
      </c>
      <c r="J915" s="4">
        <v>6000</v>
      </c>
      <c r="K915" t="s">
        <v>1060</v>
      </c>
      <c r="L915" s="5"/>
    </row>
    <row r="916" spans="1:12">
      <c r="A916" t="s">
        <v>545</v>
      </c>
      <c r="B916" s="2">
        <v>45695</v>
      </c>
      <c r="C916" t="s">
        <v>1026</v>
      </c>
      <c r="D916" t="s">
        <v>1011</v>
      </c>
      <c r="E916" t="s">
        <v>1044</v>
      </c>
      <c r="F916" t="s">
        <v>1020</v>
      </c>
      <c r="G916">
        <v>2</v>
      </c>
      <c r="H916" s="4">
        <v>7500</v>
      </c>
      <c r="I916" s="4">
        <v>4400</v>
      </c>
      <c r="J916" s="4">
        <v>15000</v>
      </c>
      <c r="K916" t="s">
        <v>1058</v>
      </c>
      <c r="L916" s="5"/>
    </row>
    <row r="917" spans="1:12">
      <c r="A917" t="s">
        <v>46</v>
      </c>
      <c r="B917" s="2">
        <v>45694</v>
      </c>
      <c r="C917" t="s">
        <v>1025</v>
      </c>
      <c r="D917" t="s">
        <v>1011</v>
      </c>
      <c r="E917" t="s">
        <v>1044</v>
      </c>
      <c r="F917" t="s">
        <v>1014</v>
      </c>
      <c r="G917">
        <v>1</v>
      </c>
      <c r="H917" s="4">
        <v>2500</v>
      </c>
      <c r="I917" s="4">
        <v>500</v>
      </c>
      <c r="J917" s="4">
        <v>2500</v>
      </c>
      <c r="K917" t="s">
        <v>1059</v>
      </c>
      <c r="L917" s="5"/>
    </row>
    <row r="918" spans="1:12">
      <c r="A918" t="s">
        <v>172</v>
      </c>
      <c r="B918" s="2">
        <v>45694</v>
      </c>
      <c r="C918" t="s">
        <v>1027</v>
      </c>
      <c r="D918" t="s">
        <v>1013</v>
      </c>
      <c r="E918" t="s">
        <v>1044</v>
      </c>
      <c r="F918" t="s">
        <v>1063</v>
      </c>
      <c r="G918">
        <v>1</v>
      </c>
      <c r="H918" s="4">
        <v>7000</v>
      </c>
      <c r="I918" s="4">
        <v>2000</v>
      </c>
      <c r="J918" s="4">
        <v>7000</v>
      </c>
      <c r="K918" t="s">
        <v>1058</v>
      </c>
      <c r="L918" s="5"/>
    </row>
    <row r="919" spans="1:12">
      <c r="A919" t="s">
        <v>283</v>
      </c>
      <c r="B919" s="2">
        <v>45694</v>
      </c>
      <c r="C919" t="s">
        <v>1026</v>
      </c>
      <c r="D919" t="s">
        <v>1011</v>
      </c>
      <c r="E919" t="s">
        <v>1043</v>
      </c>
      <c r="F919" t="s">
        <v>1018</v>
      </c>
      <c r="G919">
        <v>1</v>
      </c>
      <c r="H919" s="4">
        <v>2500</v>
      </c>
      <c r="I919" s="4">
        <v>600</v>
      </c>
      <c r="J919" s="4">
        <v>2500</v>
      </c>
      <c r="K919" t="s">
        <v>1059</v>
      </c>
      <c r="L919" s="5"/>
    </row>
    <row r="920" spans="1:12">
      <c r="A920" t="s">
        <v>137</v>
      </c>
      <c r="B920" s="2">
        <v>45693</v>
      </c>
      <c r="C920" t="s">
        <v>1025</v>
      </c>
      <c r="D920" t="s">
        <v>1011</v>
      </c>
      <c r="E920" t="s">
        <v>1044</v>
      </c>
      <c r="F920" t="s">
        <v>1020</v>
      </c>
      <c r="G920">
        <v>1</v>
      </c>
      <c r="H920" s="4">
        <v>7500</v>
      </c>
      <c r="I920" s="4">
        <v>2200</v>
      </c>
      <c r="J920" s="4">
        <v>7500</v>
      </c>
      <c r="K920" t="s">
        <v>1058</v>
      </c>
      <c r="L920" s="5"/>
    </row>
    <row r="921" spans="1:12">
      <c r="A921" t="s">
        <v>244</v>
      </c>
      <c r="B921" s="2">
        <v>45693</v>
      </c>
      <c r="C921" t="s">
        <v>1025</v>
      </c>
      <c r="D921" t="s">
        <v>1013</v>
      </c>
      <c r="E921" t="s">
        <v>1042</v>
      </c>
      <c r="F921" t="s">
        <v>1019</v>
      </c>
      <c r="G921">
        <v>1</v>
      </c>
      <c r="H921" s="4">
        <v>3000</v>
      </c>
      <c r="I921" s="4">
        <v>800</v>
      </c>
      <c r="J921" s="4">
        <v>3000</v>
      </c>
      <c r="K921" t="s">
        <v>1060</v>
      </c>
      <c r="L921" s="5"/>
    </row>
    <row r="922" spans="1:12">
      <c r="A922" t="s">
        <v>459</v>
      </c>
      <c r="B922" s="2">
        <v>45693</v>
      </c>
      <c r="C922" t="s">
        <v>1026</v>
      </c>
      <c r="D922" t="s">
        <v>1013</v>
      </c>
      <c r="E922" t="s">
        <v>1041</v>
      </c>
      <c r="F922" t="s">
        <v>1017</v>
      </c>
      <c r="G922">
        <v>1</v>
      </c>
      <c r="H922" s="4">
        <v>2500</v>
      </c>
      <c r="I922" s="4">
        <v>700</v>
      </c>
      <c r="J922" s="4">
        <v>2500</v>
      </c>
      <c r="K922" t="s">
        <v>1058</v>
      </c>
      <c r="L922" s="5"/>
    </row>
    <row r="923" spans="1:12">
      <c r="A923" t="s">
        <v>261</v>
      </c>
      <c r="B923" s="2">
        <v>45692</v>
      </c>
      <c r="C923" t="s">
        <v>1027</v>
      </c>
      <c r="D923" t="s">
        <v>1013</v>
      </c>
      <c r="E923" t="s">
        <v>1041</v>
      </c>
      <c r="F923" t="s">
        <v>1016</v>
      </c>
      <c r="G923">
        <v>2</v>
      </c>
      <c r="H923" s="4">
        <v>3000</v>
      </c>
      <c r="I923" s="4">
        <v>1600</v>
      </c>
      <c r="J923" s="4">
        <v>6000</v>
      </c>
      <c r="K923" t="s">
        <v>1059</v>
      </c>
      <c r="L923" s="5"/>
    </row>
    <row r="924" spans="1:12">
      <c r="A924" t="s">
        <v>728</v>
      </c>
      <c r="B924" s="2">
        <v>45692</v>
      </c>
      <c r="C924" t="s">
        <v>1027</v>
      </c>
      <c r="D924" t="s">
        <v>1012</v>
      </c>
      <c r="E924" t="s">
        <v>1044</v>
      </c>
      <c r="F924" t="s">
        <v>1063</v>
      </c>
      <c r="G924">
        <v>1</v>
      </c>
      <c r="H924" s="4">
        <v>7000</v>
      </c>
      <c r="I924" s="4">
        <v>2000</v>
      </c>
      <c r="J924" s="4">
        <v>7000</v>
      </c>
      <c r="K924" t="s">
        <v>1060</v>
      </c>
      <c r="L924" s="5"/>
    </row>
    <row r="925" spans="1:12">
      <c r="A925" t="s">
        <v>25</v>
      </c>
      <c r="B925" s="2">
        <v>45691</v>
      </c>
      <c r="C925" t="s">
        <v>1027</v>
      </c>
      <c r="D925" t="s">
        <v>1011</v>
      </c>
      <c r="E925" t="s">
        <v>1044</v>
      </c>
      <c r="F925" t="s">
        <v>1020</v>
      </c>
      <c r="G925">
        <v>1</v>
      </c>
      <c r="H925" s="4">
        <v>7500</v>
      </c>
      <c r="I925" s="4">
        <v>2200</v>
      </c>
      <c r="J925" s="4">
        <v>7500</v>
      </c>
      <c r="K925" t="s">
        <v>1060</v>
      </c>
      <c r="L925" s="5"/>
    </row>
    <row r="926" spans="1:12">
      <c r="A926" t="s">
        <v>305</v>
      </c>
      <c r="B926" s="2">
        <v>45691</v>
      </c>
      <c r="C926" t="s">
        <v>1026</v>
      </c>
      <c r="D926" t="s">
        <v>1013</v>
      </c>
      <c r="E926" t="s">
        <v>1042</v>
      </c>
      <c r="F926" t="s">
        <v>1015</v>
      </c>
      <c r="G926">
        <v>1</v>
      </c>
      <c r="H926" s="4">
        <v>4000</v>
      </c>
      <c r="I926" s="4">
        <v>1000</v>
      </c>
      <c r="J926" s="4">
        <v>4000</v>
      </c>
      <c r="K926" t="s">
        <v>1060</v>
      </c>
      <c r="L926" s="5"/>
    </row>
    <row r="927" spans="1:12">
      <c r="A927" t="s">
        <v>741</v>
      </c>
      <c r="B927" s="2">
        <v>45691</v>
      </c>
      <c r="C927" t="s">
        <v>1026</v>
      </c>
      <c r="D927" t="s">
        <v>1011</v>
      </c>
      <c r="E927" t="s">
        <v>1042</v>
      </c>
      <c r="F927" t="s">
        <v>1019</v>
      </c>
      <c r="G927">
        <v>1</v>
      </c>
      <c r="H927" s="4">
        <v>3000</v>
      </c>
      <c r="I927" s="4">
        <v>800</v>
      </c>
      <c r="J927" s="4">
        <v>3000</v>
      </c>
      <c r="K927" t="s">
        <v>1060</v>
      </c>
      <c r="L927" s="5"/>
    </row>
    <row r="928" spans="1:12">
      <c r="A928" t="s">
        <v>116</v>
      </c>
      <c r="B928" s="2">
        <v>45690</v>
      </c>
      <c r="C928" t="s">
        <v>1026</v>
      </c>
      <c r="D928" t="s">
        <v>1012</v>
      </c>
      <c r="E928" t="s">
        <v>1041</v>
      </c>
      <c r="F928" t="s">
        <v>1016</v>
      </c>
      <c r="G928">
        <v>1</v>
      </c>
      <c r="H928" s="4">
        <v>3000</v>
      </c>
      <c r="I928" s="4">
        <v>800</v>
      </c>
      <c r="J928" s="4">
        <v>3000</v>
      </c>
      <c r="K928" t="s">
        <v>1058</v>
      </c>
      <c r="L928" s="5"/>
    </row>
    <row r="929" spans="1:12">
      <c r="A929" t="s">
        <v>344</v>
      </c>
      <c r="B929" s="2">
        <v>45690</v>
      </c>
      <c r="C929" t="s">
        <v>1025</v>
      </c>
      <c r="D929" t="s">
        <v>1012</v>
      </c>
      <c r="E929" t="s">
        <v>1042</v>
      </c>
      <c r="F929" t="s">
        <v>1019</v>
      </c>
      <c r="G929">
        <v>1</v>
      </c>
      <c r="H929" s="4">
        <v>3000</v>
      </c>
      <c r="I929" s="4">
        <v>800</v>
      </c>
      <c r="J929" s="4">
        <v>3000</v>
      </c>
      <c r="K929" t="s">
        <v>1059</v>
      </c>
      <c r="L929" s="5"/>
    </row>
    <row r="930" spans="1:12">
      <c r="A930" t="s">
        <v>532</v>
      </c>
      <c r="B930" s="2">
        <v>45690</v>
      </c>
      <c r="C930" t="s">
        <v>1027</v>
      </c>
      <c r="D930" t="s">
        <v>1012</v>
      </c>
      <c r="E930" t="s">
        <v>1043</v>
      </c>
      <c r="F930" t="s">
        <v>1023</v>
      </c>
      <c r="G930">
        <v>1</v>
      </c>
      <c r="H930" s="4">
        <v>3000</v>
      </c>
      <c r="I930" s="4">
        <v>700</v>
      </c>
      <c r="J930" s="4">
        <v>3000</v>
      </c>
      <c r="K930" t="s">
        <v>1058</v>
      </c>
      <c r="L930" s="5"/>
    </row>
    <row r="931" spans="1:12">
      <c r="A931" t="s">
        <v>416</v>
      </c>
      <c r="B931" s="2">
        <v>45689</v>
      </c>
      <c r="C931" t="s">
        <v>1025</v>
      </c>
      <c r="D931" t="s">
        <v>1013</v>
      </c>
      <c r="E931" t="s">
        <v>1043</v>
      </c>
      <c r="F931" t="s">
        <v>1018</v>
      </c>
      <c r="G931">
        <v>2</v>
      </c>
      <c r="H931" s="4">
        <v>2500</v>
      </c>
      <c r="I931" s="4">
        <v>1200</v>
      </c>
      <c r="J931" s="4">
        <v>5000</v>
      </c>
      <c r="K931" t="s">
        <v>1060</v>
      </c>
      <c r="L931" s="5"/>
    </row>
    <row r="932" spans="1:12">
      <c r="A932" t="s">
        <v>452</v>
      </c>
      <c r="B932" s="2">
        <v>45689</v>
      </c>
      <c r="C932" t="s">
        <v>1025</v>
      </c>
      <c r="D932" t="s">
        <v>1011</v>
      </c>
      <c r="E932" t="s">
        <v>1043</v>
      </c>
      <c r="F932" t="s">
        <v>1021</v>
      </c>
      <c r="G932">
        <v>1</v>
      </c>
      <c r="H932" s="4">
        <v>6000</v>
      </c>
      <c r="I932" s="4">
        <v>1800</v>
      </c>
      <c r="J932" s="4">
        <v>6000</v>
      </c>
      <c r="K932" t="s">
        <v>1059</v>
      </c>
      <c r="L932" s="5"/>
    </row>
    <row r="933" spans="1:12">
      <c r="A933" t="s">
        <v>666</v>
      </c>
      <c r="B933" s="2">
        <v>45689</v>
      </c>
      <c r="C933" t="s">
        <v>1027</v>
      </c>
      <c r="D933" t="s">
        <v>1013</v>
      </c>
      <c r="E933" t="s">
        <v>1041</v>
      </c>
      <c r="F933" t="s">
        <v>1017</v>
      </c>
      <c r="G933">
        <v>1</v>
      </c>
      <c r="H933" s="4">
        <v>2500</v>
      </c>
      <c r="I933" s="4">
        <v>700</v>
      </c>
      <c r="J933" s="4">
        <v>2500</v>
      </c>
      <c r="K933" t="s">
        <v>1059</v>
      </c>
      <c r="L933" s="5"/>
    </row>
    <row r="934" spans="1:12">
      <c r="A934" t="s">
        <v>675</v>
      </c>
      <c r="B934" s="2">
        <v>45689</v>
      </c>
      <c r="C934" t="s">
        <v>1027</v>
      </c>
      <c r="D934" t="s">
        <v>1012</v>
      </c>
      <c r="E934" t="s">
        <v>1043</v>
      </c>
      <c r="F934" t="s">
        <v>1018</v>
      </c>
      <c r="G934">
        <v>2</v>
      </c>
      <c r="H934" s="4">
        <v>2500</v>
      </c>
      <c r="I934" s="4">
        <v>1200</v>
      </c>
      <c r="J934" s="4">
        <v>5000</v>
      </c>
      <c r="K934" t="s">
        <v>1058</v>
      </c>
      <c r="L934" s="5"/>
    </row>
    <row r="935" spans="1:12">
      <c r="A935" t="s">
        <v>57</v>
      </c>
      <c r="B935" s="2">
        <v>45688</v>
      </c>
      <c r="C935" t="s">
        <v>1027</v>
      </c>
      <c r="D935" t="s">
        <v>1012</v>
      </c>
      <c r="E935" t="s">
        <v>1044</v>
      </c>
      <c r="F935" t="s">
        <v>1014</v>
      </c>
      <c r="G935">
        <v>2</v>
      </c>
      <c r="H935" s="4">
        <v>2500</v>
      </c>
      <c r="I935" s="4">
        <v>1000</v>
      </c>
      <c r="J935" s="4">
        <v>5000</v>
      </c>
      <c r="K935" t="s">
        <v>1059</v>
      </c>
      <c r="L935" s="5"/>
    </row>
    <row r="936" spans="1:12">
      <c r="A936" t="s">
        <v>651</v>
      </c>
      <c r="B936" s="2">
        <v>45688</v>
      </c>
      <c r="C936" t="s">
        <v>1027</v>
      </c>
      <c r="D936" t="s">
        <v>1011</v>
      </c>
      <c r="E936" t="s">
        <v>1044</v>
      </c>
      <c r="F936" t="s">
        <v>1020</v>
      </c>
      <c r="G936">
        <v>2</v>
      </c>
      <c r="H936" s="4">
        <v>7500</v>
      </c>
      <c r="I936" s="4">
        <v>4400</v>
      </c>
      <c r="J936" s="4">
        <v>15000</v>
      </c>
      <c r="K936" t="s">
        <v>1058</v>
      </c>
      <c r="L936" s="5"/>
    </row>
    <row r="937" spans="1:12">
      <c r="A937" t="s">
        <v>61</v>
      </c>
      <c r="B937" s="2">
        <v>45687</v>
      </c>
      <c r="C937" t="s">
        <v>1025</v>
      </c>
      <c r="D937" t="s">
        <v>1013</v>
      </c>
      <c r="E937" t="s">
        <v>1043</v>
      </c>
      <c r="F937" t="s">
        <v>1023</v>
      </c>
      <c r="G937">
        <v>1</v>
      </c>
      <c r="H937" s="4">
        <v>3000</v>
      </c>
      <c r="I937" s="4">
        <v>700</v>
      </c>
      <c r="J937" s="4">
        <v>3000</v>
      </c>
      <c r="K937" t="s">
        <v>1059</v>
      </c>
      <c r="L937" s="5"/>
    </row>
    <row r="938" spans="1:12">
      <c r="A938" t="s">
        <v>743</v>
      </c>
      <c r="B938" s="2">
        <v>45687</v>
      </c>
      <c r="C938" t="s">
        <v>1027</v>
      </c>
      <c r="D938" t="s">
        <v>1013</v>
      </c>
      <c r="E938" t="s">
        <v>1044</v>
      </c>
      <c r="F938" t="s">
        <v>1014</v>
      </c>
      <c r="G938">
        <v>1</v>
      </c>
      <c r="H938" s="4">
        <v>2500</v>
      </c>
      <c r="I938" s="4">
        <v>500</v>
      </c>
      <c r="J938" s="4">
        <v>2500</v>
      </c>
      <c r="K938" t="s">
        <v>1058</v>
      </c>
      <c r="L938" s="5"/>
    </row>
    <row r="939" spans="1:12">
      <c r="A939" t="s">
        <v>24</v>
      </c>
      <c r="B939" s="2">
        <v>45686</v>
      </c>
      <c r="C939" t="s">
        <v>1027</v>
      </c>
      <c r="D939" t="s">
        <v>1013</v>
      </c>
      <c r="E939" t="s">
        <v>1044</v>
      </c>
      <c r="F939" t="s">
        <v>1014</v>
      </c>
      <c r="G939">
        <v>1</v>
      </c>
      <c r="H939" s="4">
        <v>2500</v>
      </c>
      <c r="I939" s="4">
        <v>500</v>
      </c>
      <c r="J939" s="4">
        <v>2500</v>
      </c>
      <c r="K939" t="s">
        <v>1058</v>
      </c>
      <c r="L939" s="5"/>
    </row>
    <row r="940" spans="1:12">
      <c r="A940" t="s">
        <v>471</v>
      </c>
      <c r="B940" s="2">
        <v>45686</v>
      </c>
      <c r="C940" t="s">
        <v>1027</v>
      </c>
      <c r="D940" t="s">
        <v>1011</v>
      </c>
      <c r="E940" t="s">
        <v>1043</v>
      </c>
      <c r="F940" t="s">
        <v>1018</v>
      </c>
      <c r="G940">
        <v>1</v>
      </c>
      <c r="H940" s="4">
        <v>2500</v>
      </c>
      <c r="I940" s="4">
        <v>600</v>
      </c>
      <c r="J940" s="4">
        <v>2500</v>
      </c>
      <c r="K940" t="s">
        <v>1058</v>
      </c>
      <c r="L940" s="5"/>
    </row>
    <row r="941" spans="1:12">
      <c r="A941" t="s">
        <v>510</v>
      </c>
      <c r="B941" s="2">
        <v>45686</v>
      </c>
      <c r="C941" t="s">
        <v>1025</v>
      </c>
      <c r="D941" t="s">
        <v>1013</v>
      </c>
      <c r="E941" t="s">
        <v>1043</v>
      </c>
      <c r="F941" t="s">
        <v>1018</v>
      </c>
      <c r="G941">
        <v>2</v>
      </c>
      <c r="H941" s="4">
        <v>2500</v>
      </c>
      <c r="I941" s="4">
        <v>1200</v>
      </c>
      <c r="J941" s="4">
        <v>5000</v>
      </c>
      <c r="K941" t="s">
        <v>1060</v>
      </c>
      <c r="L941" s="5"/>
    </row>
    <row r="942" spans="1:12">
      <c r="A942" t="s">
        <v>687</v>
      </c>
      <c r="B942" s="2">
        <v>45686</v>
      </c>
      <c r="C942" t="s">
        <v>1027</v>
      </c>
      <c r="D942" t="s">
        <v>1011</v>
      </c>
      <c r="E942" t="s">
        <v>1041</v>
      </c>
      <c r="F942" t="s">
        <v>1061</v>
      </c>
      <c r="G942">
        <v>1</v>
      </c>
      <c r="H942" s="4">
        <v>5000</v>
      </c>
      <c r="I942" s="4">
        <v>1500</v>
      </c>
      <c r="J942" s="4">
        <v>5000</v>
      </c>
      <c r="K942" t="s">
        <v>1059</v>
      </c>
      <c r="L942" s="5"/>
    </row>
    <row r="943" spans="1:12">
      <c r="A943" t="s">
        <v>51</v>
      </c>
      <c r="B943" s="2">
        <v>45685</v>
      </c>
      <c r="C943" t="s">
        <v>1025</v>
      </c>
      <c r="D943" t="s">
        <v>1011</v>
      </c>
      <c r="E943" t="s">
        <v>1044</v>
      </c>
      <c r="F943" t="s">
        <v>1020</v>
      </c>
      <c r="G943">
        <v>2</v>
      </c>
      <c r="H943" s="4">
        <v>7500</v>
      </c>
      <c r="I943" s="4">
        <v>4400</v>
      </c>
      <c r="J943" s="4">
        <v>15000</v>
      </c>
      <c r="K943" t="s">
        <v>1060</v>
      </c>
      <c r="L943" s="5"/>
    </row>
    <row r="944" spans="1:12">
      <c r="A944" t="s">
        <v>185</v>
      </c>
      <c r="B944" s="2">
        <v>45685</v>
      </c>
      <c r="C944" t="s">
        <v>1027</v>
      </c>
      <c r="D944" t="s">
        <v>1011</v>
      </c>
      <c r="E944" t="s">
        <v>1043</v>
      </c>
      <c r="F944" t="s">
        <v>1023</v>
      </c>
      <c r="G944">
        <v>2</v>
      </c>
      <c r="H944" s="4">
        <v>3000</v>
      </c>
      <c r="I944" s="4">
        <v>1400</v>
      </c>
      <c r="J944" s="4">
        <v>6000</v>
      </c>
      <c r="K944" t="s">
        <v>1058</v>
      </c>
      <c r="L944" s="5"/>
    </row>
    <row r="945" spans="1:12">
      <c r="A945" t="s">
        <v>518</v>
      </c>
      <c r="B945" s="2">
        <v>45685</v>
      </c>
      <c r="C945" t="s">
        <v>1027</v>
      </c>
      <c r="D945" t="s">
        <v>1012</v>
      </c>
      <c r="E945" t="s">
        <v>1043</v>
      </c>
      <c r="F945" t="s">
        <v>1018</v>
      </c>
      <c r="G945">
        <v>1</v>
      </c>
      <c r="H945" s="4">
        <v>2500</v>
      </c>
      <c r="I945" s="4">
        <v>600</v>
      </c>
      <c r="J945" s="4">
        <v>2500</v>
      </c>
      <c r="K945" t="s">
        <v>1059</v>
      </c>
      <c r="L945" s="5"/>
    </row>
    <row r="946" spans="1:12">
      <c r="A946" t="s">
        <v>875</v>
      </c>
      <c r="B946" s="2">
        <v>45685</v>
      </c>
      <c r="C946" t="s">
        <v>1027</v>
      </c>
      <c r="D946" t="s">
        <v>1012</v>
      </c>
      <c r="E946" t="s">
        <v>1041</v>
      </c>
      <c r="F946" t="s">
        <v>1017</v>
      </c>
      <c r="G946">
        <v>1</v>
      </c>
      <c r="H946" s="4">
        <v>2500</v>
      </c>
      <c r="I946" s="4">
        <v>700</v>
      </c>
      <c r="J946" s="4">
        <v>2500</v>
      </c>
      <c r="K946" t="s">
        <v>1060</v>
      </c>
      <c r="L946" s="5"/>
    </row>
    <row r="947" spans="1:12">
      <c r="A947" t="s">
        <v>979</v>
      </c>
      <c r="B947" s="2">
        <v>45685</v>
      </c>
      <c r="C947" t="s">
        <v>1025</v>
      </c>
      <c r="D947" t="s">
        <v>1012</v>
      </c>
      <c r="E947" t="s">
        <v>1044</v>
      </c>
      <c r="F947" t="s">
        <v>1014</v>
      </c>
      <c r="G947">
        <v>1</v>
      </c>
      <c r="H947" s="4">
        <v>2500</v>
      </c>
      <c r="I947" s="4">
        <v>500</v>
      </c>
      <c r="J947" s="4">
        <v>2500</v>
      </c>
      <c r="K947" t="s">
        <v>1058</v>
      </c>
      <c r="L947" s="5"/>
    </row>
    <row r="948" spans="1:12">
      <c r="A948" t="s">
        <v>264</v>
      </c>
      <c r="B948" s="2">
        <v>45684</v>
      </c>
      <c r="C948" t="s">
        <v>1026</v>
      </c>
      <c r="D948" t="s">
        <v>1011</v>
      </c>
      <c r="E948" t="s">
        <v>1042</v>
      </c>
      <c r="F948" t="s">
        <v>1015</v>
      </c>
      <c r="G948">
        <v>2</v>
      </c>
      <c r="H948" s="4">
        <v>4000</v>
      </c>
      <c r="I948" s="4">
        <v>2000</v>
      </c>
      <c r="J948" s="4">
        <v>8000</v>
      </c>
      <c r="K948" t="s">
        <v>1058</v>
      </c>
      <c r="L948" s="5"/>
    </row>
    <row r="949" spans="1:12">
      <c r="A949" t="s">
        <v>274</v>
      </c>
      <c r="B949" s="2">
        <v>45684</v>
      </c>
      <c r="C949" t="s">
        <v>1027</v>
      </c>
      <c r="D949" t="s">
        <v>1013</v>
      </c>
      <c r="E949" t="s">
        <v>1043</v>
      </c>
      <c r="F949" t="s">
        <v>1021</v>
      </c>
      <c r="G949">
        <v>1</v>
      </c>
      <c r="H949" s="4">
        <v>6000</v>
      </c>
      <c r="I949" s="4">
        <v>1800</v>
      </c>
      <c r="J949" s="4">
        <v>6000</v>
      </c>
      <c r="K949" t="s">
        <v>1060</v>
      </c>
      <c r="L949" s="5"/>
    </row>
    <row r="950" spans="1:12">
      <c r="A950" t="s">
        <v>428</v>
      </c>
      <c r="B950" s="2">
        <v>45684</v>
      </c>
      <c r="C950" t="s">
        <v>1027</v>
      </c>
      <c r="D950" t="s">
        <v>1012</v>
      </c>
      <c r="E950" t="s">
        <v>1044</v>
      </c>
      <c r="F950" t="s">
        <v>1014</v>
      </c>
      <c r="G950">
        <v>1</v>
      </c>
      <c r="H950" s="4">
        <v>2500</v>
      </c>
      <c r="I950" s="4">
        <v>500</v>
      </c>
      <c r="J950" s="4">
        <v>2500</v>
      </c>
      <c r="K950" t="s">
        <v>1058</v>
      </c>
      <c r="L950" s="5"/>
    </row>
    <row r="951" spans="1:12">
      <c r="A951" t="s">
        <v>55</v>
      </c>
      <c r="B951" s="2">
        <v>45683</v>
      </c>
      <c r="C951" t="s">
        <v>1025</v>
      </c>
      <c r="D951" t="s">
        <v>1011</v>
      </c>
      <c r="E951" t="s">
        <v>1043</v>
      </c>
      <c r="F951" t="s">
        <v>1023</v>
      </c>
      <c r="G951">
        <v>1</v>
      </c>
      <c r="H951" s="4">
        <v>3000</v>
      </c>
      <c r="I951" s="4">
        <v>700</v>
      </c>
      <c r="J951" s="4">
        <v>3000</v>
      </c>
      <c r="K951" t="s">
        <v>1059</v>
      </c>
      <c r="L951" s="5"/>
    </row>
    <row r="952" spans="1:12">
      <c r="A952" t="s">
        <v>108</v>
      </c>
      <c r="B952" s="2">
        <v>45683</v>
      </c>
      <c r="C952" t="s">
        <v>1025</v>
      </c>
      <c r="D952" t="s">
        <v>1013</v>
      </c>
      <c r="E952" t="s">
        <v>1042</v>
      </c>
      <c r="F952" t="s">
        <v>1019</v>
      </c>
      <c r="G952">
        <v>2</v>
      </c>
      <c r="H952" s="4">
        <v>3000</v>
      </c>
      <c r="I952" s="4">
        <v>1600</v>
      </c>
      <c r="J952" s="4">
        <v>6000</v>
      </c>
      <c r="K952" t="s">
        <v>1059</v>
      </c>
      <c r="L952" s="5"/>
    </row>
    <row r="953" spans="1:12">
      <c r="A953" t="s">
        <v>243</v>
      </c>
      <c r="B953" s="2">
        <v>45683</v>
      </c>
      <c r="C953" t="s">
        <v>1026</v>
      </c>
      <c r="D953" t="s">
        <v>1013</v>
      </c>
      <c r="E953" t="s">
        <v>1043</v>
      </c>
      <c r="F953" t="s">
        <v>1021</v>
      </c>
      <c r="G953">
        <v>1</v>
      </c>
      <c r="H953" s="4">
        <v>6000</v>
      </c>
      <c r="I953" s="4">
        <v>1800</v>
      </c>
      <c r="J953" s="4">
        <v>6000</v>
      </c>
      <c r="K953" t="s">
        <v>1059</v>
      </c>
      <c r="L953" s="5"/>
    </row>
    <row r="954" spans="1:12">
      <c r="A954" t="s">
        <v>670</v>
      </c>
      <c r="B954" s="2">
        <v>45683</v>
      </c>
      <c r="C954" t="s">
        <v>1027</v>
      </c>
      <c r="D954" t="s">
        <v>1011</v>
      </c>
      <c r="E954" t="s">
        <v>1041</v>
      </c>
      <c r="F954" t="s">
        <v>1061</v>
      </c>
      <c r="G954">
        <v>2</v>
      </c>
      <c r="H954" s="4">
        <v>5000</v>
      </c>
      <c r="I954" s="4">
        <v>3000</v>
      </c>
      <c r="J954" s="4">
        <v>10000</v>
      </c>
      <c r="K954" t="s">
        <v>1058</v>
      </c>
      <c r="L954" s="5"/>
    </row>
    <row r="955" spans="1:12">
      <c r="A955" t="s">
        <v>802</v>
      </c>
      <c r="B955" s="2">
        <v>45683</v>
      </c>
      <c r="C955" t="s">
        <v>1027</v>
      </c>
      <c r="D955" t="s">
        <v>1013</v>
      </c>
      <c r="E955" t="s">
        <v>1044</v>
      </c>
      <c r="F955" t="s">
        <v>1063</v>
      </c>
      <c r="G955">
        <v>2</v>
      </c>
      <c r="H955" s="4">
        <v>7000</v>
      </c>
      <c r="I955" s="4">
        <v>4000</v>
      </c>
      <c r="J955" s="4">
        <v>14000</v>
      </c>
      <c r="K955" t="s">
        <v>1059</v>
      </c>
      <c r="L955" s="5"/>
    </row>
    <row r="956" spans="1:12">
      <c r="A956" t="s">
        <v>789</v>
      </c>
      <c r="B956" s="2">
        <v>45682</v>
      </c>
      <c r="C956" t="s">
        <v>1025</v>
      </c>
      <c r="D956" t="s">
        <v>1013</v>
      </c>
      <c r="E956" t="s">
        <v>1042</v>
      </c>
      <c r="F956" t="s">
        <v>1015</v>
      </c>
      <c r="G956">
        <v>1</v>
      </c>
      <c r="H956" s="4">
        <v>4000</v>
      </c>
      <c r="I956" s="4">
        <v>1000</v>
      </c>
      <c r="J956" s="4">
        <v>4000</v>
      </c>
      <c r="K956" t="s">
        <v>1058</v>
      </c>
      <c r="L956" s="5"/>
    </row>
    <row r="957" spans="1:12">
      <c r="A957" t="s">
        <v>18</v>
      </c>
      <c r="B957" s="2">
        <v>45681</v>
      </c>
      <c r="C957" t="s">
        <v>1025</v>
      </c>
      <c r="D957" t="s">
        <v>1013</v>
      </c>
      <c r="E957" t="s">
        <v>1044</v>
      </c>
      <c r="F957" t="s">
        <v>1014</v>
      </c>
      <c r="G957">
        <v>1</v>
      </c>
      <c r="H957" s="4">
        <v>2500</v>
      </c>
      <c r="I957" s="4">
        <v>500</v>
      </c>
      <c r="J957" s="4">
        <v>2500</v>
      </c>
      <c r="K957" t="s">
        <v>1058</v>
      </c>
      <c r="L957" s="5"/>
    </row>
    <row r="958" spans="1:12">
      <c r="A958" t="s">
        <v>156</v>
      </c>
      <c r="B958" s="2">
        <v>45681</v>
      </c>
      <c r="C958" t="s">
        <v>1027</v>
      </c>
      <c r="D958" t="s">
        <v>1011</v>
      </c>
      <c r="E958" t="s">
        <v>1041</v>
      </c>
      <c r="F958" t="s">
        <v>1016</v>
      </c>
      <c r="G958">
        <v>1</v>
      </c>
      <c r="H958" s="4">
        <v>3000</v>
      </c>
      <c r="I958" s="4">
        <v>800</v>
      </c>
      <c r="J958" s="4">
        <v>3000</v>
      </c>
      <c r="K958" t="s">
        <v>1058</v>
      </c>
      <c r="L958" s="5"/>
    </row>
    <row r="959" spans="1:12">
      <c r="A959" t="s">
        <v>458</v>
      </c>
      <c r="B959" s="2">
        <v>45681</v>
      </c>
      <c r="C959" t="s">
        <v>1026</v>
      </c>
      <c r="D959" t="s">
        <v>1012</v>
      </c>
      <c r="E959" t="s">
        <v>1044</v>
      </c>
      <c r="F959" t="s">
        <v>1014</v>
      </c>
      <c r="G959">
        <v>1</v>
      </c>
      <c r="H959" s="4">
        <v>2500</v>
      </c>
      <c r="I959" s="4">
        <v>500</v>
      </c>
      <c r="J959" s="4">
        <v>2500</v>
      </c>
      <c r="K959" t="s">
        <v>1060</v>
      </c>
      <c r="L959" s="5"/>
    </row>
    <row r="960" spans="1:12">
      <c r="A960" t="s">
        <v>599</v>
      </c>
      <c r="B960" s="2">
        <v>45681</v>
      </c>
      <c r="C960" t="s">
        <v>1027</v>
      </c>
      <c r="D960" t="s">
        <v>1011</v>
      </c>
      <c r="E960" t="s">
        <v>1042</v>
      </c>
      <c r="F960" t="s">
        <v>1019</v>
      </c>
      <c r="G960">
        <v>1</v>
      </c>
      <c r="H960" s="4">
        <v>3000</v>
      </c>
      <c r="I960" s="4">
        <v>800</v>
      </c>
      <c r="J960" s="4">
        <v>3000</v>
      </c>
      <c r="K960" t="s">
        <v>1058</v>
      </c>
      <c r="L960" s="5"/>
    </row>
    <row r="961" spans="1:12">
      <c r="A961" t="s">
        <v>782</v>
      </c>
      <c r="B961" s="2">
        <v>45681</v>
      </c>
      <c r="C961" t="s">
        <v>1026</v>
      </c>
      <c r="D961" t="s">
        <v>1012</v>
      </c>
      <c r="E961" t="s">
        <v>1041</v>
      </c>
      <c r="F961" t="s">
        <v>1016</v>
      </c>
      <c r="G961">
        <v>1</v>
      </c>
      <c r="H961" s="4">
        <v>3000</v>
      </c>
      <c r="I961" s="4">
        <v>800</v>
      </c>
      <c r="J961" s="4">
        <v>3000</v>
      </c>
      <c r="K961" t="s">
        <v>1058</v>
      </c>
      <c r="L961" s="5"/>
    </row>
    <row r="962" spans="1:12">
      <c r="A962" t="s">
        <v>804</v>
      </c>
      <c r="B962" s="2">
        <v>45681</v>
      </c>
      <c r="C962" t="s">
        <v>1027</v>
      </c>
      <c r="D962" t="s">
        <v>1013</v>
      </c>
      <c r="E962" t="s">
        <v>1041</v>
      </c>
      <c r="F962" t="s">
        <v>1017</v>
      </c>
      <c r="G962">
        <v>1</v>
      </c>
      <c r="H962" s="4">
        <v>2500</v>
      </c>
      <c r="I962" s="4">
        <v>700</v>
      </c>
      <c r="J962" s="4">
        <v>2500</v>
      </c>
      <c r="K962" t="s">
        <v>1060</v>
      </c>
      <c r="L962" s="5"/>
    </row>
    <row r="963" spans="1:12">
      <c r="A963" t="s">
        <v>76</v>
      </c>
      <c r="B963" s="2">
        <v>45680</v>
      </c>
      <c r="C963" t="s">
        <v>1027</v>
      </c>
      <c r="D963" t="s">
        <v>1012</v>
      </c>
      <c r="E963" t="s">
        <v>1044</v>
      </c>
      <c r="F963" t="s">
        <v>1020</v>
      </c>
      <c r="G963">
        <v>1</v>
      </c>
      <c r="H963" s="4">
        <v>7500</v>
      </c>
      <c r="I963" s="4">
        <v>2200</v>
      </c>
      <c r="J963" s="4">
        <v>7500</v>
      </c>
      <c r="K963" t="s">
        <v>1059</v>
      </c>
      <c r="L963" s="5"/>
    </row>
    <row r="964" spans="1:12">
      <c r="A964" t="s">
        <v>199</v>
      </c>
      <c r="B964" s="2">
        <v>45680</v>
      </c>
      <c r="C964" t="s">
        <v>1026</v>
      </c>
      <c r="D964" t="s">
        <v>1011</v>
      </c>
      <c r="E964" t="s">
        <v>1044</v>
      </c>
      <c r="F964" t="s">
        <v>1014</v>
      </c>
      <c r="G964">
        <v>2</v>
      </c>
      <c r="H964" s="4">
        <v>2500</v>
      </c>
      <c r="I964" s="4">
        <v>1000</v>
      </c>
      <c r="J964" s="4">
        <v>5000</v>
      </c>
      <c r="K964" t="s">
        <v>1058</v>
      </c>
      <c r="L964" s="5"/>
    </row>
    <row r="965" spans="1:12">
      <c r="A965" t="s">
        <v>345</v>
      </c>
      <c r="B965" s="2">
        <v>45680</v>
      </c>
      <c r="C965" t="s">
        <v>1027</v>
      </c>
      <c r="D965" t="s">
        <v>1013</v>
      </c>
      <c r="E965" t="s">
        <v>1044</v>
      </c>
      <c r="F965" t="s">
        <v>1063</v>
      </c>
      <c r="G965">
        <v>1</v>
      </c>
      <c r="H965" s="4">
        <v>7000</v>
      </c>
      <c r="I965" s="4">
        <v>2000</v>
      </c>
      <c r="J965" s="4">
        <v>7000</v>
      </c>
      <c r="K965" t="s">
        <v>1058</v>
      </c>
      <c r="L965" s="5"/>
    </row>
    <row r="966" spans="1:12">
      <c r="A966" t="s">
        <v>470</v>
      </c>
      <c r="B966" s="2">
        <v>45680</v>
      </c>
      <c r="C966" t="s">
        <v>1026</v>
      </c>
      <c r="D966" t="s">
        <v>1012</v>
      </c>
      <c r="E966" t="s">
        <v>1041</v>
      </c>
      <c r="F966" t="s">
        <v>1061</v>
      </c>
      <c r="G966">
        <v>1</v>
      </c>
      <c r="H966" s="4">
        <v>5000</v>
      </c>
      <c r="I966" s="4">
        <v>1500</v>
      </c>
      <c r="J966" s="4">
        <v>5000</v>
      </c>
      <c r="K966" t="s">
        <v>1059</v>
      </c>
      <c r="L966" s="5"/>
    </row>
    <row r="967" spans="1:12">
      <c r="A967" t="s">
        <v>719</v>
      </c>
      <c r="B967" s="2">
        <v>45680</v>
      </c>
      <c r="C967" t="s">
        <v>1026</v>
      </c>
      <c r="D967" t="s">
        <v>1012</v>
      </c>
      <c r="E967" t="s">
        <v>1041</v>
      </c>
      <c r="F967" t="s">
        <v>1016</v>
      </c>
      <c r="G967">
        <v>2</v>
      </c>
      <c r="H967" s="4">
        <v>3000</v>
      </c>
      <c r="I967" s="4">
        <v>1600</v>
      </c>
      <c r="J967" s="4">
        <v>6000</v>
      </c>
      <c r="K967" t="s">
        <v>1058</v>
      </c>
      <c r="L967" s="5"/>
    </row>
    <row r="968" spans="1:12">
      <c r="A968" t="s">
        <v>869</v>
      </c>
      <c r="B968" s="2">
        <v>45680</v>
      </c>
      <c r="C968" t="s">
        <v>1026</v>
      </c>
      <c r="D968" t="s">
        <v>1011</v>
      </c>
      <c r="E968" t="s">
        <v>1043</v>
      </c>
      <c r="F968" t="s">
        <v>1023</v>
      </c>
      <c r="G968">
        <v>2</v>
      </c>
      <c r="H968" s="4">
        <v>3000</v>
      </c>
      <c r="I968" s="4">
        <v>1400</v>
      </c>
      <c r="J968" s="4">
        <v>6000</v>
      </c>
      <c r="K968" t="s">
        <v>1059</v>
      </c>
      <c r="L968" s="5"/>
    </row>
    <row r="969" spans="1:12">
      <c r="A969" t="s">
        <v>859</v>
      </c>
      <c r="B969" s="2">
        <v>45678</v>
      </c>
      <c r="C969" t="s">
        <v>1027</v>
      </c>
      <c r="D969" t="s">
        <v>1012</v>
      </c>
      <c r="E969" t="s">
        <v>1043</v>
      </c>
      <c r="F969" t="s">
        <v>1023</v>
      </c>
      <c r="G969">
        <v>1</v>
      </c>
      <c r="H969" s="4">
        <v>3000</v>
      </c>
      <c r="I969" s="4">
        <v>700</v>
      </c>
      <c r="J969" s="4">
        <v>3000</v>
      </c>
      <c r="K969" t="s">
        <v>1060</v>
      </c>
      <c r="L969" s="5"/>
    </row>
    <row r="970" spans="1:12">
      <c r="A970" t="s">
        <v>866</v>
      </c>
      <c r="B970" s="2">
        <v>45678</v>
      </c>
      <c r="C970" t="s">
        <v>1025</v>
      </c>
      <c r="D970" t="s">
        <v>1012</v>
      </c>
      <c r="E970" t="s">
        <v>1044</v>
      </c>
      <c r="F970" t="s">
        <v>1014</v>
      </c>
      <c r="G970">
        <v>1</v>
      </c>
      <c r="H970" s="4">
        <v>2500</v>
      </c>
      <c r="I970" s="4">
        <v>500</v>
      </c>
      <c r="J970" s="4">
        <v>2500</v>
      </c>
      <c r="K970" t="s">
        <v>1058</v>
      </c>
      <c r="L970" s="5"/>
    </row>
    <row r="971" spans="1:12">
      <c r="A971" t="s">
        <v>297</v>
      </c>
      <c r="B971" s="2">
        <v>45677</v>
      </c>
      <c r="C971" t="s">
        <v>1027</v>
      </c>
      <c r="D971" t="s">
        <v>1012</v>
      </c>
      <c r="E971" t="s">
        <v>1043</v>
      </c>
      <c r="F971" t="s">
        <v>1023</v>
      </c>
      <c r="G971">
        <v>2</v>
      </c>
      <c r="H971" s="4">
        <v>3000</v>
      </c>
      <c r="I971" s="4">
        <v>1400</v>
      </c>
      <c r="J971" s="4">
        <v>6000</v>
      </c>
      <c r="K971" t="s">
        <v>1058</v>
      </c>
      <c r="L971" s="5"/>
    </row>
    <row r="972" spans="1:12">
      <c r="A972" t="s">
        <v>733</v>
      </c>
      <c r="B972" s="2">
        <v>45677</v>
      </c>
      <c r="C972" t="s">
        <v>1027</v>
      </c>
      <c r="D972" t="s">
        <v>1012</v>
      </c>
      <c r="E972" t="s">
        <v>1043</v>
      </c>
      <c r="F972" t="s">
        <v>1023</v>
      </c>
      <c r="G972">
        <v>2</v>
      </c>
      <c r="H972" s="4">
        <v>3000</v>
      </c>
      <c r="I972" s="4">
        <v>1400</v>
      </c>
      <c r="J972" s="4">
        <v>6000</v>
      </c>
      <c r="K972" t="s">
        <v>1058</v>
      </c>
      <c r="L972" s="5"/>
    </row>
    <row r="973" spans="1:12">
      <c r="A973" t="s">
        <v>734</v>
      </c>
      <c r="B973" s="2">
        <v>45677</v>
      </c>
      <c r="C973" t="s">
        <v>1026</v>
      </c>
      <c r="D973" t="s">
        <v>1012</v>
      </c>
      <c r="E973" t="s">
        <v>1041</v>
      </c>
      <c r="F973" t="s">
        <v>1016</v>
      </c>
      <c r="G973">
        <v>2</v>
      </c>
      <c r="H973" s="4">
        <v>3000</v>
      </c>
      <c r="I973" s="4">
        <v>1600</v>
      </c>
      <c r="J973" s="4">
        <v>6000</v>
      </c>
      <c r="K973" t="s">
        <v>1060</v>
      </c>
      <c r="L973" s="5"/>
    </row>
    <row r="974" spans="1:12">
      <c r="A974" t="s">
        <v>358</v>
      </c>
      <c r="B974" s="2">
        <v>45675</v>
      </c>
      <c r="C974" t="s">
        <v>1027</v>
      </c>
      <c r="D974" t="s">
        <v>1013</v>
      </c>
      <c r="E974" t="s">
        <v>1042</v>
      </c>
      <c r="F974" t="s">
        <v>1019</v>
      </c>
      <c r="G974">
        <v>2</v>
      </c>
      <c r="H974" s="4">
        <v>3000</v>
      </c>
      <c r="I974" s="4">
        <v>1600</v>
      </c>
      <c r="J974" s="4">
        <v>6000</v>
      </c>
      <c r="K974" t="s">
        <v>1059</v>
      </c>
      <c r="L974" s="5"/>
    </row>
    <row r="975" spans="1:12">
      <c r="A975" t="s">
        <v>724</v>
      </c>
      <c r="B975" s="2">
        <v>45675</v>
      </c>
      <c r="C975" t="s">
        <v>1025</v>
      </c>
      <c r="D975" t="s">
        <v>1011</v>
      </c>
      <c r="E975" t="s">
        <v>1041</v>
      </c>
      <c r="F975" t="s">
        <v>1017</v>
      </c>
      <c r="G975">
        <v>2</v>
      </c>
      <c r="H975" s="4">
        <v>2500</v>
      </c>
      <c r="I975" s="4">
        <v>1400</v>
      </c>
      <c r="J975" s="4">
        <v>5000</v>
      </c>
      <c r="K975" t="s">
        <v>1060</v>
      </c>
      <c r="L975" s="5"/>
    </row>
    <row r="976" spans="1:12">
      <c r="A976" t="s">
        <v>9</v>
      </c>
      <c r="B976" s="2">
        <v>45674</v>
      </c>
      <c r="C976" t="s">
        <v>1027</v>
      </c>
      <c r="D976" t="s">
        <v>1013</v>
      </c>
      <c r="E976" t="s">
        <v>1041</v>
      </c>
      <c r="F976" t="s">
        <v>1017</v>
      </c>
      <c r="G976">
        <v>2</v>
      </c>
      <c r="H976" s="4">
        <v>2500</v>
      </c>
      <c r="I976" s="4">
        <v>1400</v>
      </c>
      <c r="J976" s="4">
        <v>5000</v>
      </c>
      <c r="K976" t="s">
        <v>1059</v>
      </c>
      <c r="L976" s="5"/>
    </row>
    <row r="977" spans="1:12">
      <c r="A977" t="s">
        <v>47</v>
      </c>
      <c r="B977" s="2">
        <v>45674</v>
      </c>
      <c r="C977" t="s">
        <v>1026</v>
      </c>
      <c r="D977" t="s">
        <v>1013</v>
      </c>
      <c r="E977" t="s">
        <v>1044</v>
      </c>
      <c r="F977" t="s">
        <v>1014</v>
      </c>
      <c r="G977">
        <v>1</v>
      </c>
      <c r="H977" s="4">
        <v>2500</v>
      </c>
      <c r="I977" s="4">
        <v>500</v>
      </c>
      <c r="J977" s="4">
        <v>2500</v>
      </c>
      <c r="K977" t="s">
        <v>1060</v>
      </c>
      <c r="L977" s="5"/>
    </row>
    <row r="978" spans="1:12">
      <c r="A978" t="s">
        <v>467</v>
      </c>
      <c r="B978" s="2">
        <v>45674</v>
      </c>
      <c r="C978" t="s">
        <v>1025</v>
      </c>
      <c r="D978" t="s">
        <v>1012</v>
      </c>
      <c r="E978" t="s">
        <v>1042</v>
      </c>
      <c r="F978" t="s">
        <v>1019</v>
      </c>
      <c r="G978">
        <v>1</v>
      </c>
      <c r="H978" s="4">
        <v>3000</v>
      </c>
      <c r="I978" s="4">
        <v>800</v>
      </c>
      <c r="J978" s="4">
        <v>3000</v>
      </c>
      <c r="K978" t="s">
        <v>1060</v>
      </c>
      <c r="L978" s="5"/>
    </row>
    <row r="979" spans="1:12">
      <c r="A979" t="s">
        <v>357</v>
      </c>
      <c r="B979" s="2">
        <v>45673</v>
      </c>
      <c r="C979" t="s">
        <v>1027</v>
      </c>
      <c r="D979" t="s">
        <v>1011</v>
      </c>
      <c r="E979" t="s">
        <v>1044</v>
      </c>
      <c r="F979" t="s">
        <v>1062</v>
      </c>
      <c r="G979">
        <v>1</v>
      </c>
      <c r="H979" s="4">
        <v>8000</v>
      </c>
      <c r="I979" s="4">
        <v>2500</v>
      </c>
      <c r="J979" s="4">
        <v>8000</v>
      </c>
      <c r="K979" t="s">
        <v>1060</v>
      </c>
      <c r="L979" s="5"/>
    </row>
    <row r="980" spans="1:12">
      <c r="A980" t="s">
        <v>520</v>
      </c>
      <c r="B980" s="2">
        <v>45673</v>
      </c>
      <c r="C980" t="s">
        <v>1025</v>
      </c>
      <c r="D980" t="s">
        <v>1012</v>
      </c>
      <c r="E980" t="s">
        <v>1042</v>
      </c>
      <c r="F980" t="s">
        <v>1019</v>
      </c>
      <c r="G980">
        <v>1</v>
      </c>
      <c r="H980" s="4">
        <v>3000</v>
      </c>
      <c r="I980" s="4">
        <v>800</v>
      </c>
      <c r="J980" s="4">
        <v>3000</v>
      </c>
      <c r="K980" t="s">
        <v>1058</v>
      </c>
      <c r="L980" s="5"/>
    </row>
    <row r="981" spans="1:12">
      <c r="A981" t="s">
        <v>143</v>
      </c>
      <c r="B981" s="2">
        <v>45672</v>
      </c>
      <c r="C981" t="s">
        <v>1026</v>
      </c>
      <c r="D981" t="s">
        <v>1012</v>
      </c>
      <c r="E981" t="s">
        <v>1044</v>
      </c>
      <c r="F981" t="s">
        <v>1020</v>
      </c>
      <c r="G981">
        <v>1</v>
      </c>
      <c r="H981" s="4">
        <v>7500</v>
      </c>
      <c r="I981" s="4">
        <v>2200</v>
      </c>
      <c r="J981" s="4">
        <v>7500</v>
      </c>
      <c r="K981" t="s">
        <v>1059</v>
      </c>
      <c r="L981" s="5"/>
    </row>
    <row r="982" spans="1:12">
      <c r="A982" t="s">
        <v>176</v>
      </c>
      <c r="B982" s="2">
        <v>45671</v>
      </c>
      <c r="C982" t="s">
        <v>1027</v>
      </c>
      <c r="D982" t="s">
        <v>1013</v>
      </c>
      <c r="E982" t="s">
        <v>1044</v>
      </c>
      <c r="F982" t="s">
        <v>1062</v>
      </c>
      <c r="G982">
        <v>1</v>
      </c>
      <c r="H982" s="4">
        <v>8000</v>
      </c>
      <c r="I982" s="4">
        <v>2500</v>
      </c>
      <c r="J982" s="4">
        <v>8000</v>
      </c>
      <c r="K982" t="s">
        <v>1060</v>
      </c>
      <c r="L982" s="5"/>
    </row>
    <row r="983" spans="1:12">
      <c r="A983" t="s">
        <v>5</v>
      </c>
      <c r="B983" s="2">
        <v>45670</v>
      </c>
      <c r="C983" t="s">
        <v>1025</v>
      </c>
      <c r="D983" t="s">
        <v>1012</v>
      </c>
      <c r="E983" t="s">
        <v>1042</v>
      </c>
      <c r="F983" t="s">
        <v>1015</v>
      </c>
      <c r="G983">
        <v>1</v>
      </c>
      <c r="H983" s="4">
        <v>4000</v>
      </c>
      <c r="I983" s="4">
        <v>1000</v>
      </c>
      <c r="J983" s="4">
        <v>4000</v>
      </c>
      <c r="K983" t="s">
        <v>1059</v>
      </c>
      <c r="L983" s="5"/>
    </row>
    <row r="984" spans="1:12">
      <c r="A984" t="s">
        <v>558</v>
      </c>
      <c r="B984" s="2">
        <v>45669</v>
      </c>
      <c r="C984" t="s">
        <v>1026</v>
      </c>
      <c r="D984" t="s">
        <v>1011</v>
      </c>
      <c r="E984" t="s">
        <v>1042</v>
      </c>
      <c r="F984" t="s">
        <v>1019</v>
      </c>
      <c r="G984">
        <v>1</v>
      </c>
      <c r="H984" s="4">
        <v>3000</v>
      </c>
      <c r="I984" s="4">
        <v>800</v>
      </c>
      <c r="J984" s="4">
        <v>3000</v>
      </c>
      <c r="K984" t="s">
        <v>1059</v>
      </c>
      <c r="L984" s="5"/>
    </row>
    <row r="985" spans="1:12">
      <c r="A985" t="s">
        <v>286</v>
      </c>
      <c r="B985" s="2">
        <v>45668</v>
      </c>
      <c r="C985" t="s">
        <v>1026</v>
      </c>
      <c r="D985" t="s">
        <v>1013</v>
      </c>
      <c r="E985" t="s">
        <v>1041</v>
      </c>
      <c r="F985" t="s">
        <v>1017</v>
      </c>
      <c r="G985">
        <v>2</v>
      </c>
      <c r="H985" s="4">
        <v>2500</v>
      </c>
      <c r="I985" s="4">
        <v>1400</v>
      </c>
      <c r="J985" s="4">
        <v>5000</v>
      </c>
      <c r="K985" t="s">
        <v>1060</v>
      </c>
      <c r="L985" s="5"/>
    </row>
    <row r="986" spans="1:12">
      <c r="A986" t="s">
        <v>331</v>
      </c>
      <c r="B986" s="2">
        <v>45667</v>
      </c>
      <c r="C986" t="s">
        <v>1026</v>
      </c>
      <c r="D986" t="s">
        <v>1013</v>
      </c>
      <c r="E986" t="s">
        <v>1041</v>
      </c>
      <c r="F986" t="s">
        <v>1061</v>
      </c>
      <c r="G986">
        <v>1</v>
      </c>
      <c r="H986" s="4">
        <v>5000</v>
      </c>
      <c r="I986" s="4">
        <v>1500</v>
      </c>
      <c r="J986" s="4">
        <v>5000</v>
      </c>
      <c r="K986" t="s">
        <v>1059</v>
      </c>
      <c r="L986" s="5"/>
    </row>
    <row r="987" spans="1:12">
      <c r="A987" t="s">
        <v>248</v>
      </c>
      <c r="B987" s="2">
        <v>45666</v>
      </c>
      <c r="C987" t="s">
        <v>1027</v>
      </c>
      <c r="D987" t="s">
        <v>1012</v>
      </c>
      <c r="E987" t="s">
        <v>1043</v>
      </c>
      <c r="F987" t="s">
        <v>1021</v>
      </c>
      <c r="G987">
        <v>1</v>
      </c>
      <c r="H987" s="4">
        <v>6000</v>
      </c>
      <c r="I987" s="4">
        <v>1800</v>
      </c>
      <c r="J987" s="4">
        <v>6000</v>
      </c>
      <c r="K987" t="s">
        <v>1059</v>
      </c>
      <c r="L987" s="5"/>
    </row>
    <row r="988" spans="1:12">
      <c r="A988" t="s">
        <v>504</v>
      </c>
      <c r="B988" s="2">
        <v>45666</v>
      </c>
      <c r="C988" t="s">
        <v>1025</v>
      </c>
      <c r="D988" t="s">
        <v>1011</v>
      </c>
      <c r="E988" t="s">
        <v>1044</v>
      </c>
      <c r="F988" t="s">
        <v>1063</v>
      </c>
      <c r="G988">
        <v>1</v>
      </c>
      <c r="H988" s="4">
        <v>7000</v>
      </c>
      <c r="I988" s="4">
        <v>2000</v>
      </c>
      <c r="J988" s="4">
        <v>7000</v>
      </c>
      <c r="K988" t="s">
        <v>1060</v>
      </c>
      <c r="L988" s="5"/>
    </row>
    <row r="989" spans="1:12">
      <c r="A989" t="s">
        <v>503</v>
      </c>
      <c r="B989" s="2">
        <v>45664</v>
      </c>
      <c r="C989" t="s">
        <v>1027</v>
      </c>
      <c r="D989" t="s">
        <v>1011</v>
      </c>
      <c r="E989" t="s">
        <v>1043</v>
      </c>
      <c r="F989" t="s">
        <v>1018</v>
      </c>
      <c r="G989">
        <v>2</v>
      </c>
      <c r="H989" s="4">
        <v>2500</v>
      </c>
      <c r="I989" s="4">
        <v>1200</v>
      </c>
      <c r="J989" s="4">
        <v>5000</v>
      </c>
      <c r="K989" t="s">
        <v>1060</v>
      </c>
      <c r="L989" s="5"/>
    </row>
    <row r="990" spans="1:12">
      <c r="A990" t="s">
        <v>813</v>
      </c>
      <c r="B990" s="2">
        <v>45664</v>
      </c>
      <c r="C990" t="s">
        <v>1025</v>
      </c>
      <c r="D990" t="s">
        <v>1011</v>
      </c>
      <c r="E990" t="s">
        <v>1044</v>
      </c>
      <c r="F990" t="s">
        <v>1063</v>
      </c>
      <c r="G990">
        <v>1</v>
      </c>
      <c r="H990" s="4">
        <v>7000</v>
      </c>
      <c r="I990" s="4">
        <v>2000</v>
      </c>
      <c r="J990" s="4">
        <v>7000</v>
      </c>
      <c r="K990" t="s">
        <v>1060</v>
      </c>
      <c r="L990" s="5"/>
    </row>
    <row r="991" spans="1:12">
      <c r="A991" t="s">
        <v>852</v>
      </c>
      <c r="B991" s="2">
        <v>45664</v>
      </c>
      <c r="C991" t="s">
        <v>1025</v>
      </c>
      <c r="D991" t="s">
        <v>1012</v>
      </c>
      <c r="E991" t="s">
        <v>1044</v>
      </c>
      <c r="F991" t="s">
        <v>1062</v>
      </c>
      <c r="G991">
        <v>1</v>
      </c>
      <c r="H991" s="4">
        <v>8000</v>
      </c>
      <c r="I991" s="4">
        <v>2500</v>
      </c>
      <c r="J991" s="4">
        <v>8000</v>
      </c>
      <c r="K991" t="s">
        <v>1059</v>
      </c>
      <c r="L991" s="5"/>
    </row>
    <row r="992" spans="1:12">
      <c r="A992" t="s">
        <v>817</v>
      </c>
      <c r="B992" s="2">
        <v>45663</v>
      </c>
      <c r="C992" t="s">
        <v>1025</v>
      </c>
      <c r="D992" t="s">
        <v>1013</v>
      </c>
      <c r="E992" t="s">
        <v>1041</v>
      </c>
      <c r="F992" t="s">
        <v>1016</v>
      </c>
      <c r="G992">
        <v>1</v>
      </c>
      <c r="H992" s="4">
        <v>3000</v>
      </c>
      <c r="I992" s="4">
        <v>800</v>
      </c>
      <c r="J992" s="4">
        <v>3000</v>
      </c>
      <c r="K992" t="s">
        <v>1060</v>
      </c>
      <c r="L992" s="5"/>
    </row>
    <row r="993" spans="1:12">
      <c r="A993" t="s">
        <v>884</v>
      </c>
      <c r="B993" s="2">
        <v>45663</v>
      </c>
      <c r="C993" t="s">
        <v>1025</v>
      </c>
      <c r="D993" t="s">
        <v>1011</v>
      </c>
      <c r="E993" t="s">
        <v>1044</v>
      </c>
      <c r="F993" t="s">
        <v>1063</v>
      </c>
      <c r="G993">
        <v>1</v>
      </c>
      <c r="H993" s="4">
        <v>7000</v>
      </c>
      <c r="I993" s="4">
        <v>2000</v>
      </c>
      <c r="J993" s="4">
        <v>7000</v>
      </c>
      <c r="K993" t="s">
        <v>1059</v>
      </c>
      <c r="L993" s="5"/>
    </row>
    <row r="994" spans="1:12">
      <c r="A994" t="s">
        <v>219</v>
      </c>
      <c r="B994" s="2">
        <v>45662</v>
      </c>
      <c r="C994" t="s">
        <v>1025</v>
      </c>
      <c r="D994" t="s">
        <v>1011</v>
      </c>
      <c r="E994" t="s">
        <v>1044</v>
      </c>
      <c r="F994" t="s">
        <v>1020</v>
      </c>
      <c r="G994">
        <v>1</v>
      </c>
      <c r="H994" s="4">
        <v>7500</v>
      </c>
      <c r="I994" s="4">
        <v>2200</v>
      </c>
      <c r="J994" s="4">
        <v>7500</v>
      </c>
      <c r="K994" t="s">
        <v>1060</v>
      </c>
      <c r="L994" s="5"/>
    </row>
    <row r="995" spans="1:12">
      <c r="A995" t="s">
        <v>645</v>
      </c>
      <c r="B995" s="2">
        <v>45662</v>
      </c>
      <c r="C995" t="s">
        <v>1026</v>
      </c>
      <c r="D995" t="s">
        <v>1013</v>
      </c>
      <c r="E995" t="s">
        <v>1041</v>
      </c>
      <c r="F995" t="s">
        <v>1017</v>
      </c>
      <c r="G995">
        <v>2</v>
      </c>
      <c r="H995" s="4">
        <v>2500</v>
      </c>
      <c r="I995" s="4">
        <v>1400</v>
      </c>
      <c r="J995" s="4">
        <v>5000</v>
      </c>
      <c r="K995" t="s">
        <v>1058</v>
      </c>
      <c r="L995" s="5"/>
    </row>
    <row r="996" spans="1:12">
      <c r="A996" t="s">
        <v>990</v>
      </c>
      <c r="B996" s="2">
        <v>45662</v>
      </c>
      <c r="C996" t="s">
        <v>1027</v>
      </c>
      <c r="D996" t="s">
        <v>1012</v>
      </c>
      <c r="E996" t="s">
        <v>1041</v>
      </c>
      <c r="F996" t="s">
        <v>1016</v>
      </c>
      <c r="G996">
        <v>2</v>
      </c>
      <c r="H996" s="4">
        <v>3000</v>
      </c>
      <c r="I996" s="4">
        <v>1600</v>
      </c>
      <c r="J996" s="4">
        <v>6000</v>
      </c>
      <c r="K996" t="s">
        <v>1058</v>
      </c>
      <c r="L996" s="5"/>
    </row>
    <row r="997" spans="1:12">
      <c r="A997" t="s">
        <v>885</v>
      </c>
      <c r="B997" s="2">
        <v>45660</v>
      </c>
      <c r="C997" t="s">
        <v>1025</v>
      </c>
      <c r="D997" t="s">
        <v>1011</v>
      </c>
      <c r="E997" t="s">
        <v>1041</v>
      </c>
      <c r="F997" t="s">
        <v>1017</v>
      </c>
      <c r="G997">
        <v>1</v>
      </c>
      <c r="H997" s="4">
        <v>2500</v>
      </c>
      <c r="I997" s="4">
        <v>700</v>
      </c>
      <c r="J997" s="4">
        <v>2500</v>
      </c>
      <c r="K997" t="s">
        <v>1058</v>
      </c>
      <c r="L997" s="5"/>
    </row>
    <row r="998" spans="1:12">
      <c r="A998" t="s">
        <v>167</v>
      </c>
      <c r="B998" s="2">
        <v>45659</v>
      </c>
      <c r="C998" t="s">
        <v>1026</v>
      </c>
      <c r="D998" t="s">
        <v>1012</v>
      </c>
      <c r="E998" t="s">
        <v>1041</v>
      </c>
      <c r="F998" t="s">
        <v>1017</v>
      </c>
      <c r="G998">
        <v>1</v>
      </c>
      <c r="H998" s="4">
        <v>2500</v>
      </c>
      <c r="I998" s="4">
        <v>700</v>
      </c>
      <c r="J998" s="4">
        <v>2500</v>
      </c>
      <c r="K998" t="s">
        <v>1060</v>
      </c>
      <c r="L998" s="5"/>
    </row>
    <row r="999" spans="1:12">
      <c r="A999" t="s">
        <v>93</v>
      </c>
      <c r="B999" s="2">
        <v>45658</v>
      </c>
      <c r="C999" t="s">
        <v>1025</v>
      </c>
      <c r="D999" t="s">
        <v>1011</v>
      </c>
      <c r="E999" t="s">
        <v>1041</v>
      </c>
      <c r="F999" t="s">
        <v>1061</v>
      </c>
      <c r="G999">
        <v>2</v>
      </c>
      <c r="H999" s="4">
        <v>5000</v>
      </c>
      <c r="I999" s="4">
        <v>3000</v>
      </c>
      <c r="J999" s="4">
        <v>10000</v>
      </c>
      <c r="K999" t="s">
        <v>1060</v>
      </c>
      <c r="L999" s="5"/>
    </row>
    <row r="1000" spans="1:12">
      <c r="A1000" t="s">
        <v>605</v>
      </c>
      <c r="B1000" s="2">
        <v>45658</v>
      </c>
      <c r="C1000" t="s">
        <v>1027</v>
      </c>
      <c r="D1000" t="s">
        <v>1012</v>
      </c>
      <c r="E1000" t="s">
        <v>1041</v>
      </c>
      <c r="F1000" t="s">
        <v>1017</v>
      </c>
      <c r="G1000">
        <v>1</v>
      </c>
      <c r="H1000" s="4">
        <v>2500</v>
      </c>
      <c r="I1000" s="4">
        <v>700</v>
      </c>
      <c r="J1000" s="4">
        <v>2500</v>
      </c>
      <c r="K1000" t="s">
        <v>1059</v>
      </c>
      <c r="L1000" s="5"/>
    </row>
    <row r="1001" spans="1:12">
      <c r="A1001" t="s">
        <v>688</v>
      </c>
      <c r="B1001" s="2">
        <v>45658</v>
      </c>
      <c r="C1001" t="s">
        <v>1026</v>
      </c>
      <c r="D1001" t="s">
        <v>1011</v>
      </c>
      <c r="E1001" t="s">
        <v>1041</v>
      </c>
      <c r="F1001" t="s">
        <v>1061</v>
      </c>
      <c r="G1001">
        <v>2</v>
      </c>
      <c r="H1001" s="4">
        <v>5000</v>
      </c>
      <c r="I1001" s="4">
        <v>3000</v>
      </c>
      <c r="J1001" s="4">
        <v>10000</v>
      </c>
      <c r="K1001" t="s">
        <v>1059</v>
      </c>
      <c r="L1001" s="5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Laboratory_Revenue_Dashboard</vt:lpstr>
      <vt:lpstr>Total revenue generated</vt:lpstr>
      <vt:lpstr>Total test perfomed</vt:lpstr>
      <vt:lpstr>Revenue generated by branch</vt:lpstr>
      <vt:lpstr>Highest revenue generating test</vt:lpstr>
      <vt:lpstr>Patient distribution</vt:lpstr>
      <vt:lpstr>Revenue by timeline</vt:lpstr>
      <vt:lpstr>Revenue generated by department</vt:lpstr>
      <vt:lpstr>Slicers</vt:lpstr>
      <vt:lpstr>Laboratory 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Oyewale</dc:creator>
  <cp:lastModifiedBy>ABUBAKAR MARYAM</cp:lastModifiedBy>
  <dcterms:created xsi:type="dcterms:W3CDTF">2026-07-21T18:31:00Z</dcterms:created>
  <dcterms:modified xsi:type="dcterms:W3CDTF">2026-07-23T20:08:54Z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F7C01DC06447456DBCF6E7F1F70B5332_12</vt:lpwstr>
  </property>
  <property fmtid="{D5CDD505-2E9C-101B-9397-08002B2CF9AE}" pid="3" name="KSOProductBuildVer">
    <vt:lpwstr>1033-12.2.0.23196</vt:lpwstr>
  </property>
</Properties>
</file>